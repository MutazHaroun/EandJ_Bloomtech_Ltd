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EandJ_Bloomtech_Ltd\EandJ_Bloomtech_Ltd\EandJ_Bloomtech_Ltd\my_products\"/>
    </mc:Choice>
  </mc:AlternateContent>
  <xr:revisionPtr revIDLastSave="0" documentId="13_ncr:1_{4A625310-B380-4127-94A7-7DF7809B2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7" i="1" l="1"/>
  <c r="O181" i="1"/>
  <c r="K181" i="1"/>
  <c r="M181" i="1" s="1"/>
  <c r="O180" i="1"/>
  <c r="K180" i="1"/>
  <c r="M180" i="1" s="1"/>
  <c r="O179" i="1"/>
  <c r="K179" i="1"/>
  <c r="M179" i="1" s="1"/>
  <c r="O178" i="1"/>
  <c r="M178" i="1"/>
  <c r="O177" i="1"/>
  <c r="K177" i="1"/>
  <c r="M177" i="1" s="1"/>
  <c r="M176" i="1"/>
  <c r="K176" i="1"/>
  <c r="O175" i="1"/>
  <c r="M175" i="1"/>
  <c r="K175" i="1"/>
  <c r="O174" i="1"/>
  <c r="K174" i="1"/>
  <c r="M174" i="1" s="1"/>
  <c r="O173" i="1"/>
  <c r="K173" i="1"/>
  <c r="M173" i="1" s="1"/>
  <c r="O172" i="1"/>
  <c r="M172" i="1"/>
  <c r="K172" i="1"/>
  <c r="O171" i="1"/>
  <c r="K171" i="1"/>
  <c r="M171" i="1" s="1"/>
  <c r="O170" i="1"/>
  <c r="K170" i="1"/>
  <c r="M170" i="1" s="1"/>
  <c r="O169" i="1"/>
  <c r="K169" i="1"/>
  <c r="M169" i="1" s="1"/>
  <c r="O168" i="1"/>
  <c r="K168" i="1"/>
  <c r="M168" i="1" s="1"/>
  <c r="O167" i="1"/>
  <c r="K167" i="1"/>
  <c r="M167" i="1" s="1"/>
  <c r="O166" i="1"/>
  <c r="K166" i="1"/>
  <c r="M166" i="1" s="1"/>
  <c r="O165" i="1"/>
  <c r="K165" i="1"/>
  <c r="M165" i="1" s="1"/>
  <c r="O164" i="1"/>
  <c r="K164" i="1"/>
  <c r="M164" i="1" s="1"/>
  <c r="O163" i="1"/>
  <c r="M163" i="1"/>
  <c r="K163" i="1"/>
  <c r="O162" i="1"/>
  <c r="M162" i="1"/>
  <c r="K162" i="1"/>
  <c r="O161" i="1"/>
  <c r="K161" i="1"/>
  <c r="M161" i="1" s="1"/>
  <c r="O160" i="1"/>
  <c r="M160" i="1"/>
  <c r="K160" i="1"/>
  <c r="O159" i="1"/>
  <c r="M159" i="1"/>
  <c r="K159" i="1"/>
  <c r="O158" i="1"/>
  <c r="K158" i="1"/>
  <c r="M158" i="1" s="1"/>
  <c r="O157" i="1"/>
  <c r="K157" i="1"/>
  <c r="M157" i="1" s="1"/>
  <c r="O156" i="1"/>
  <c r="M156" i="1"/>
  <c r="K156" i="1"/>
  <c r="O155" i="1"/>
  <c r="K155" i="1"/>
  <c r="M155" i="1" s="1"/>
  <c r="O154" i="1"/>
  <c r="K154" i="1"/>
  <c r="M154" i="1" s="1"/>
  <c r="O153" i="1"/>
  <c r="K153" i="1"/>
  <c r="M153" i="1" s="1"/>
  <c r="O152" i="1"/>
  <c r="K152" i="1"/>
  <c r="M152" i="1" s="1"/>
  <c r="O151" i="1"/>
  <c r="K151" i="1"/>
  <c r="M151" i="1" s="1"/>
  <c r="O150" i="1"/>
  <c r="K150" i="1"/>
  <c r="M150" i="1" s="1"/>
  <c r="O149" i="1"/>
  <c r="K149" i="1"/>
  <c r="M149" i="1" s="1"/>
  <c r="O148" i="1"/>
  <c r="K148" i="1"/>
  <c r="M148" i="1" s="1"/>
  <c r="O147" i="1"/>
  <c r="M147" i="1"/>
  <c r="K147" i="1"/>
  <c r="O146" i="1"/>
  <c r="M146" i="1"/>
  <c r="K146" i="1"/>
  <c r="O145" i="1"/>
  <c r="K145" i="1"/>
  <c r="M145" i="1" s="1"/>
  <c r="O144" i="1"/>
  <c r="M144" i="1"/>
  <c r="K144" i="1"/>
  <c r="O143" i="1"/>
  <c r="K143" i="1"/>
  <c r="O142" i="1"/>
  <c r="K142" i="1"/>
  <c r="M142" i="1" s="1"/>
  <c r="O141" i="1"/>
  <c r="K141" i="1"/>
  <c r="M141" i="1" s="1"/>
  <c r="O140" i="1"/>
  <c r="K140" i="1"/>
  <c r="M140" i="1" s="1"/>
  <c r="O139" i="1"/>
  <c r="K139" i="1"/>
  <c r="M139" i="1" s="1"/>
  <c r="O138" i="1"/>
  <c r="K138" i="1"/>
  <c r="M138" i="1" s="1"/>
  <c r="O137" i="1"/>
  <c r="K137" i="1"/>
  <c r="M137" i="1" s="1"/>
  <c r="O136" i="1"/>
  <c r="M136" i="1"/>
  <c r="K136" i="1"/>
  <c r="O135" i="1"/>
  <c r="M135" i="1"/>
  <c r="K135" i="1"/>
  <c r="O134" i="1"/>
  <c r="K134" i="1"/>
  <c r="M134" i="1" s="1"/>
  <c r="O133" i="1"/>
  <c r="M133" i="1"/>
  <c r="K133" i="1"/>
  <c r="O132" i="1"/>
  <c r="M132" i="1"/>
  <c r="K132" i="1"/>
  <c r="O131" i="1"/>
  <c r="K131" i="1"/>
  <c r="M131" i="1" s="1"/>
  <c r="O130" i="1"/>
  <c r="K130" i="1"/>
  <c r="M130" i="1" s="1"/>
  <c r="O129" i="1"/>
  <c r="M129" i="1"/>
  <c r="K129" i="1"/>
  <c r="O128" i="1"/>
  <c r="K128" i="1"/>
  <c r="M128" i="1" s="1"/>
  <c r="O127" i="1"/>
  <c r="K127" i="1"/>
  <c r="M127" i="1" s="1"/>
  <c r="O126" i="1"/>
  <c r="K126" i="1"/>
  <c r="M126" i="1" s="1"/>
  <c r="M125" i="1"/>
  <c r="K125" i="1"/>
  <c r="O124" i="1"/>
  <c r="M124" i="1"/>
  <c r="K124" i="1"/>
  <c r="O123" i="1"/>
  <c r="K123" i="1"/>
  <c r="O122" i="1"/>
  <c r="K122" i="1"/>
  <c r="M122" i="1" s="1"/>
  <c r="O121" i="1"/>
  <c r="K121" i="1"/>
  <c r="M121" i="1" s="1"/>
  <c r="O120" i="1"/>
  <c r="K120" i="1"/>
  <c r="M120" i="1" s="1"/>
  <c r="O119" i="1"/>
  <c r="K119" i="1"/>
  <c r="M119" i="1" s="1"/>
  <c r="O118" i="1"/>
  <c r="K118" i="1"/>
  <c r="M118" i="1" s="1"/>
  <c r="O117" i="1"/>
  <c r="K117" i="1"/>
  <c r="M117" i="1" s="1"/>
  <c r="O116" i="1"/>
  <c r="K116" i="1"/>
  <c r="M116" i="1" s="1"/>
  <c r="O115" i="1"/>
  <c r="K115" i="1"/>
  <c r="M115" i="1" s="1"/>
  <c r="O114" i="1"/>
  <c r="M114" i="1"/>
  <c r="K114" i="1"/>
  <c r="O113" i="1"/>
  <c r="M113" i="1"/>
  <c r="K113" i="1"/>
  <c r="O112" i="1"/>
  <c r="K112" i="1"/>
  <c r="M112" i="1" s="1"/>
  <c r="O111" i="1"/>
  <c r="M111" i="1"/>
  <c r="K111" i="1"/>
  <c r="O110" i="1"/>
  <c r="M110" i="1"/>
  <c r="K110" i="1"/>
  <c r="O109" i="1"/>
  <c r="K109" i="1"/>
  <c r="M109" i="1" s="1"/>
  <c r="O108" i="1"/>
  <c r="K108" i="1"/>
  <c r="M108" i="1" s="1"/>
  <c r="O107" i="1"/>
  <c r="M107" i="1"/>
  <c r="K107" i="1"/>
  <c r="O106" i="1"/>
  <c r="K106" i="1"/>
  <c r="M106" i="1" s="1"/>
  <c r="O105" i="1"/>
  <c r="K105" i="1"/>
  <c r="M105" i="1" s="1"/>
  <c r="O104" i="1"/>
  <c r="K104" i="1"/>
  <c r="M104" i="1" s="1"/>
  <c r="O103" i="1"/>
  <c r="K103" i="1"/>
  <c r="M103" i="1" s="1"/>
  <c r="O102" i="1"/>
  <c r="K102" i="1"/>
  <c r="M102" i="1" s="1"/>
  <c r="O101" i="1"/>
  <c r="K101" i="1"/>
  <c r="M101" i="1" s="1"/>
  <c r="O100" i="1"/>
  <c r="K100" i="1"/>
  <c r="M100" i="1" s="1"/>
  <c r="O99" i="1"/>
  <c r="K99" i="1"/>
  <c r="M99" i="1" s="1"/>
  <c r="O98" i="1"/>
  <c r="M98" i="1"/>
  <c r="K98" i="1"/>
  <c r="O97" i="1"/>
  <c r="M97" i="1"/>
  <c r="K97" i="1"/>
  <c r="O96" i="1"/>
  <c r="K96" i="1"/>
  <c r="M96" i="1" s="1"/>
  <c r="O95" i="1"/>
  <c r="M95" i="1"/>
  <c r="K95" i="1"/>
  <c r="O94" i="1"/>
  <c r="M94" i="1"/>
  <c r="K94" i="1"/>
  <c r="O93" i="1"/>
  <c r="K93" i="1"/>
  <c r="M93" i="1" s="1"/>
  <c r="O92" i="1"/>
  <c r="K92" i="1"/>
  <c r="M92" i="1" s="1"/>
  <c r="O91" i="1"/>
  <c r="M91" i="1"/>
  <c r="K91" i="1"/>
  <c r="O90" i="1"/>
  <c r="K90" i="1"/>
  <c r="M90" i="1" s="1"/>
  <c r="O89" i="1"/>
  <c r="K89" i="1"/>
  <c r="M89" i="1" s="1"/>
  <c r="K88" i="1"/>
  <c r="K87" i="1"/>
  <c r="M87" i="1" s="1"/>
  <c r="O86" i="1"/>
  <c r="K86" i="1"/>
  <c r="M86" i="1" s="1"/>
  <c r="O85" i="1"/>
  <c r="K85" i="1"/>
  <c r="M85" i="1" s="1"/>
  <c r="O84" i="1"/>
  <c r="K84" i="1"/>
  <c r="M84" i="1" s="1"/>
  <c r="O83" i="1"/>
  <c r="K83" i="1"/>
  <c r="M83" i="1" s="1"/>
  <c r="O82" i="1"/>
  <c r="K82" i="1"/>
  <c r="M82" i="1" s="1"/>
  <c r="O81" i="1"/>
  <c r="M81" i="1"/>
  <c r="K81" i="1"/>
  <c r="O80" i="1"/>
  <c r="M80" i="1"/>
  <c r="K80" i="1"/>
  <c r="O79" i="1"/>
  <c r="K79" i="1"/>
  <c r="M79" i="1" s="1"/>
  <c r="O78" i="1"/>
  <c r="M78" i="1"/>
  <c r="K78" i="1"/>
  <c r="O77" i="1"/>
  <c r="M77" i="1"/>
  <c r="K77" i="1"/>
  <c r="O76" i="1"/>
  <c r="K76" i="1"/>
  <c r="M76" i="1" s="1"/>
  <c r="O75" i="1"/>
  <c r="K75" i="1"/>
  <c r="M75" i="1" s="1"/>
  <c r="O74" i="1"/>
  <c r="M74" i="1"/>
  <c r="K74" i="1"/>
  <c r="O73" i="1"/>
  <c r="K73" i="1"/>
  <c r="M73" i="1" s="1"/>
  <c r="O72" i="1"/>
  <c r="K72" i="1"/>
  <c r="M72" i="1" s="1"/>
  <c r="O71" i="1"/>
  <c r="K71" i="1"/>
  <c r="M71" i="1" s="1"/>
  <c r="O70" i="1"/>
  <c r="K70" i="1"/>
  <c r="M70" i="1" s="1"/>
  <c r="O69" i="1"/>
  <c r="K69" i="1"/>
  <c r="M69" i="1" s="1"/>
  <c r="K68" i="1"/>
  <c r="O67" i="1"/>
  <c r="K67" i="1"/>
  <c r="M67" i="1" s="1"/>
  <c r="O66" i="1"/>
  <c r="K66" i="1"/>
  <c r="M66" i="1" s="1"/>
  <c r="O65" i="1"/>
  <c r="K65" i="1"/>
  <c r="M65" i="1" s="1"/>
  <c r="O64" i="1"/>
  <c r="K64" i="1"/>
  <c r="M64" i="1" s="1"/>
  <c r="O63" i="1"/>
  <c r="K63" i="1"/>
  <c r="M63" i="1" s="1"/>
  <c r="O62" i="1"/>
  <c r="K62" i="1"/>
  <c r="M62" i="1" s="1"/>
  <c r="O61" i="1"/>
  <c r="K61" i="1"/>
  <c r="M61" i="1" s="1"/>
  <c r="O60" i="1"/>
  <c r="K60" i="1"/>
  <c r="M60" i="1" s="1"/>
  <c r="O59" i="1"/>
  <c r="M59" i="1"/>
  <c r="K59" i="1"/>
  <c r="O58" i="1"/>
  <c r="M58" i="1"/>
  <c r="K58" i="1"/>
  <c r="O57" i="1"/>
  <c r="K57" i="1"/>
  <c r="M57" i="1" s="1"/>
  <c r="O56" i="1"/>
  <c r="M56" i="1"/>
  <c r="K56" i="1"/>
  <c r="O55" i="1"/>
  <c r="M55" i="1"/>
  <c r="K55" i="1"/>
  <c r="O54" i="1"/>
  <c r="K54" i="1"/>
  <c r="M54" i="1" s="1"/>
  <c r="O53" i="1"/>
  <c r="K53" i="1"/>
  <c r="M53" i="1" s="1"/>
  <c r="O52" i="1"/>
  <c r="M52" i="1"/>
  <c r="K52" i="1"/>
  <c r="O51" i="1"/>
  <c r="K51" i="1"/>
  <c r="M51" i="1" s="1"/>
  <c r="O50" i="1"/>
  <c r="K50" i="1"/>
  <c r="M50" i="1" s="1"/>
  <c r="O49" i="1"/>
  <c r="K49" i="1"/>
  <c r="M49" i="1" s="1"/>
  <c r="O48" i="1"/>
  <c r="K48" i="1"/>
  <c r="M48" i="1" s="1"/>
  <c r="O47" i="1"/>
  <c r="K47" i="1"/>
  <c r="M47" i="1" s="1"/>
  <c r="O46" i="1"/>
  <c r="K46" i="1"/>
  <c r="M46" i="1" s="1"/>
  <c r="O45" i="1"/>
  <c r="K45" i="1"/>
  <c r="M45" i="1" s="1"/>
  <c r="O44" i="1"/>
  <c r="K44" i="1"/>
  <c r="M44" i="1" s="1"/>
  <c r="O43" i="1"/>
  <c r="M43" i="1"/>
  <c r="K43" i="1"/>
  <c r="O42" i="1"/>
  <c r="M42" i="1"/>
  <c r="K42" i="1"/>
  <c r="O41" i="1"/>
  <c r="K41" i="1"/>
  <c r="M41" i="1" s="1"/>
  <c r="O40" i="1"/>
  <c r="M40" i="1"/>
  <c r="K40" i="1"/>
  <c r="O39" i="1"/>
  <c r="M39" i="1"/>
  <c r="K39" i="1"/>
  <c r="O38" i="1"/>
  <c r="K38" i="1"/>
  <c r="M38" i="1" s="1"/>
  <c r="O37" i="1"/>
  <c r="K37" i="1"/>
  <c r="M37" i="1" s="1"/>
  <c r="O36" i="1"/>
  <c r="M36" i="1"/>
  <c r="K36" i="1"/>
  <c r="O35" i="1"/>
  <c r="K35" i="1"/>
  <c r="M35" i="1" s="1"/>
  <c r="O34" i="1"/>
  <c r="K34" i="1"/>
  <c r="M34" i="1" s="1"/>
  <c r="O33" i="1"/>
  <c r="K33" i="1"/>
  <c r="M33" i="1" s="1"/>
  <c r="O32" i="1"/>
  <c r="K32" i="1"/>
  <c r="M32" i="1" s="1"/>
  <c r="O31" i="1"/>
  <c r="K31" i="1"/>
  <c r="M31" i="1" s="1"/>
  <c r="O30" i="1"/>
  <c r="K30" i="1"/>
  <c r="M30" i="1" s="1"/>
  <c r="O29" i="1"/>
  <c r="K29" i="1"/>
  <c r="M29" i="1" s="1"/>
  <c r="O28" i="1"/>
  <c r="K28" i="1"/>
  <c r="M28" i="1" s="1"/>
  <c r="O27" i="1"/>
  <c r="M27" i="1"/>
  <c r="K27" i="1"/>
  <c r="O26" i="1"/>
  <c r="M26" i="1"/>
  <c r="K26" i="1"/>
  <c r="M25" i="1"/>
  <c r="K25" i="1"/>
  <c r="O24" i="1"/>
  <c r="K24" i="1"/>
  <c r="M24" i="1" s="1"/>
  <c r="O23" i="1"/>
  <c r="K23" i="1"/>
  <c r="M23" i="1" s="1"/>
  <c r="O22" i="1"/>
  <c r="K22" i="1"/>
  <c r="M22" i="1" s="1"/>
  <c r="O21" i="1"/>
  <c r="K21" i="1"/>
  <c r="M21" i="1" s="1"/>
  <c r="O20" i="1"/>
  <c r="K20" i="1"/>
  <c r="M20" i="1" s="1"/>
  <c r="O19" i="1"/>
  <c r="K19" i="1"/>
  <c r="M19" i="1" s="1"/>
  <c r="O18" i="1"/>
  <c r="K18" i="1"/>
  <c r="M18" i="1" s="1"/>
  <c r="K17" i="1"/>
  <c r="O16" i="1"/>
  <c r="K16" i="1"/>
  <c r="M16" i="1" s="1"/>
  <c r="O15" i="1"/>
  <c r="K15" i="1"/>
  <c r="M15" i="1" s="1"/>
  <c r="M14" i="1"/>
  <c r="K14" i="1"/>
  <c r="K13" i="1"/>
  <c r="K12" i="1"/>
  <c r="M12" i="1" s="1"/>
  <c r="O11" i="1"/>
  <c r="M11" i="1"/>
  <c r="K11" i="1"/>
  <c r="O10" i="1"/>
  <c r="M10" i="1"/>
  <c r="K10" i="1"/>
  <c r="O9" i="1"/>
  <c r="K9" i="1"/>
  <c r="M9" i="1" s="1"/>
  <c r="O8" i="1"/>
  <c r="K8" i="1"/>
  <c r="M8" i="1" s="1"/>
  <c r="O182" i="1" l="1"/>
</calcChain>
</file>

<file path=xl/sharedStrings.xml><?xml version="1.0" encoding="utf-8"?>
<sst xmlns="http://schemas.openxmlformats.org/spreadsheetml/2006/main" count="183" uniqueCount="183">
  <si>
    <t>Names</t>
  </si>
  <si>
    <t>Aglaonema</t>
  </si>
  <si>
    <t>Alexandria 🌴</t>
  </si>
  <si>
    <t>Allamanda</t>
  </si>
  <si>
    <t>Alpinia</t>
  </si>
  <si>
    <t>Amabuye yo mumazi</t>
  </si>
  <si>
    <t>Amabuye Yumweru</t>
  </si>
  <si>
    <t>Amapave</t>
  </si>
  <si>
    <t>Amateke</t>
  </si>
  <si>
    <t>Amavase ya Sima 1st class</t>
  </si>
  <si>
    <t>Amavase ya Sima 2nd class</t>
  </si>
  <si>
    <t>Amavase ya sima arimo ubusa (Manini)</t>
  </si>
  <si>
    <t>Amavase ya sima arimo ubusa (Mato)</t>
  </si>
  <si>
    <t>Amavase ya sima ateye  MATO</t>
  </si>
  <si>
    <t>Amavase ya sima ateye (manini)</t>
  </si>
  <si>
    <t>Amavase y'ibumba adateye (mato)</t>
  </si>
  <si>
    <t>Amavase y'ibumba adateye(Manini)</t>
  </si>
  <si>
    <t>Amavase y'ibumba ateye (MANINI)</t>
  </si>
  <si>
    <t>Amavase y'ibumba ateye (mato)</t>
  </si>
  <si>
    <t>Anthurium Class 1( Nini )</t>
  </si>
  <si>
    <t>Anthurium nini ( Pink )</t>
  </si>
  <si>
    <t>Anthurium nini ( Princess white)</t>
  </si>
  <si>
    <t>Anthurium pink( Nto )</t>
  </si>
  <si>
    <t>Anthurium small</t>
  </si>
  <si>
    <t>Anthurium small White</t>
  </si>
  <si>
    <t>Anthurium Special 1</t>
  </si>
  <si>
    <t>Anthurium special Red</t>
  </si>
  <si>
    <t>Anthurium Special two( Nto )</t>
  </si>
  <si>
    <t>Aspragus</t>
  </si>
  <si>
    <t xml:space="preserve">Araucaria </t>
  </si>
  <si>
    <t>Ashoka</t>
  </si>
  <si>
    <t>Avocado 🥑</t>
  </si>
  <si>
    <t>Bismarck</t>
  </si>
  <si>
    <t xml:space="preserve">Begonia </t>
  </si>
  <si>
    <t>Begonia ( Masoniana )</t>
  </si>
  <si>
    <t>Big Ferns (Fugel)</t>
  </si>
  <si>
    <t>Blackberry Lily / Iris Domestica</t>
  </si>
  <si>
    <t>Bougainvillea</t>
  </si>
  <si>
    <t>Callistemon</t>
  </si>
  <si>
    <t>Caltus</t>
  </si>
  <si>
    <t>Canolla</t>
  </si>
  <si>
    <t>Celery  Palm</t>
  </si>
  <si>
    <t>Cepegel (Mussaenda)</t>
  </si>
  <si>
    <t>Cycas</t>
  </si>
  <si>
    <t>Cœur de Bœuf</t>
  </si>
  <si>
    <t>Common water hyacinth</t>
  </si>
  <si>
    <t>Coltan nini</t>
  </si>
  <si>
    <t>Coltan nto</t>
  </si>
  <si>
    <t>Costus Woodsonii</t>
  </si>
  <si>
    <t>Curculigo</t>
  </si>
  <si>
    <t>Cyayicyayi</t>
  </si>
  <si>
    <t>Cypress ( Tuya tall )</t>
  </si>
  <si>
    <t>Cypress [ Ibibundi ]</t>
  </si>
  <si>
    <t>Cypress Nini</t>
  </si>
  <si>
    <t>Cypress nto</t>
  </si>
  <si>
    <t>Cypress nto cyane</t>
  </si>
  <si>
    <t>Dieffenbachia seguine plant</t>
  </si>
  <si>
    <t xml:space="preserve">Eugénie </t>
  </si>
  <si>
    <t xml:space="preserve">Exola Nini </t>
  </si>
  <si>
    <t>Exola nto</t>
  </si>
  <si>
    <t>Ficus Erastica(Umurehe)</t>
  </si>
  <si>
    <t xml:space="preserve">Ficus lyrata </t>
  </si>
  <si>
    <t>Ficus tree</t>
  </si>
  <si>
    <t>flax-lily</t>
  </si>
  <si>
    <t>Fuchsia</t>
  </si>
  <si>
    <t>Gardenia</t>
  </si>
  <si>
    <t xml:space="preserve">Geranium </t>
  </si>
  <si>
    <t>Golden pothos</t>
  </si>
  <si>
    <t xml:space="preserve">Ginger </t>
  </si>
  <si>
    <t>Golden Cane 🌴 (Nini)</t>
  </si>
  <si>
    <t>Golden cane🌴(Nto)</t>
  </si>
  <si>
    <t>Gripper</t>
  </si>
  <si>
    <t>Gutera</t>
  </si>
  <si>
    <t>Heliconia ( Insina )</t>
  </si>
  <si>
    <t>Heliconia (red banana)</t>
  </si>
  <si>
    <t>Hybiscus</t>
  </si>
  <si>
    <t>Ibikakarubamba</t>
  </si>
  <si>
    <t xml:space="preserve">Ibitenge (Sanchesia) </t>
  </si>
  <si>
    <t>Ibitunguru ( Puaro And Chinese chives)</t>
  </si>
  <si>
    <t>Ifumbire y'ibigori</t>
  </si>
  <si>
    <t>Ifumbire</t>
  </si>
  <si>
    <t>Ifina</t>
  </si>
  <si>
    <t>Imigano</t>
  </si>
  <si>
    <t>Ikimina</t>
  </si>
  <si>
    <t xml:space="preserve">Imigwegwe </t>
  </si>
  <si>
    <t>Imihati ( white )</t>
  </si>
  <si>
    <t>Imikindo ( Phonex )</t>
  </si>
  <si>
    <t>Imikindo ( Shamadoria )</t>
  </si>
  <si>
    <t>Imikindo ( Triangle medium)</t>
  </si>
  <si>
    <t>Imikindo ( Triangle small)</t>
  </si>
  <si>
    <t>Imikindo🌴 (Palm)</t>
  </si>
  <si>
    <t>Imikindo🌴( Triangle nini)</t>
  </si>
  <si>
    <t>Imiyenzi</t>
  </si>
  <si>
    <t>Ibisheke</t>
  </si>
  <si>
    <t>Imyembe</t>
  </si>
  <si>
    <t xml:space="preserve">Indimu + Mandeline </t>
  </si>
  <si>
    <t>Insenda</t>
  </si>
  <si>
    <t>Inshinge nto (Penisetum)</t>
  </si>
  <si>
    <t>Insina [Calathea]</t>
  </si>
  <si>
    <t>Insina vougeur</t>
  </si>
  <si>
    <t>Ishinge nini(Penisetum)</t>
  </si>
  <si>
    <t>Justicia gendarussa</t>
  </si>
  <si>
    <t>Lemon verbena (Valvene)</t>
  </si>
  <si>
    <t>Letice</t>
  </si>
  <si>
    <t>Liliope</t>
  </si>
  <si>
    <t>Lilies</t>
  </si>
  <si>
    <t>Lollipop/ Patcystacys Lutea</t>
  </si>
  <si>
    <t>Loquat tree ( Neflier )</t>
  </si>
  <si>
    <t>Louweria</t>
  </si>
  <si>
    <t>M.O</t>
  </si>
  <si>
    <t>Modellerium</t>
  </si>
  <si>
    <t>Mante</t>
  </si>
  <si>
    <t>Nazareth</t>
  </si>
  <si>
    <t>Orchid</t>
  </si>
  <si>
    <t>Pandanus (With Thônes)</t>
  </si>
  <si>
    <t>Passion fruits</t>
  </si>
  <si>
    <t>Peace Lily (Spathiphyllum)</t>
  </si>
  <si>
    <t>Peperomia</t>
  </si>
  <si>
    <t>Perouse</t>
  </si>
  <si>
    <t>Petite dolanta</t>
  </si>
  <si>
    <t>Philodendron</t>
  </si>
  <si>
    <t>Philodendron (Yellow)</t>
  </si>
  <si>
    <t>Philodendron Tree</t>
  </si>
  <si>
    <t>Phobia (Jesus)</t>
  </si>
  <si>
    <t>Phornium</t>
  </si>
  <si>
    <t>Podo</t>
  </si>
  <si>
    <t>Papaya</t>
  </si>
  <si>
    <t>Poinsettian</t>
  </si>
  <si>
    <t>Pyrostegia venusta</t>
  </si>
  <si>
    <t>Red hot poker</t>
  </si>
  <si>
    <t>Red Leaf</t>
  </si>
  <si>
    <t>Rocket</t>
  </si>
  <si>
    <t>Rose special</t>
  </si>
  <si>
    <t>Rose 🌹</t>
  </si>
  <si>
    <t>Rosemary</t>
  </si>
  <si>
    <t>Royal 🌴 palm</t>
  </si>
  <si>
    <t>Schefflera nini</t>
  </si>
  <si>
    <t>Schefflera nto</t>
  </si>
  <si>
    <t>Shasta daisy (Margaritte White )</t>
  </si>
  <si>
    <t>Small Ferns</t>
  </si>
  <si>
    <t>Snake</t>
  </si>
  <si>
    <t>Salvia</t>
  </si>
  <si>
    <t>Soursop</t>
  </si>
  <si>
    <t>Stand/ Sports</t>
  </si>
  <si>
    <t>Starr (Bloodleaf)</t>
  </si>
  <si>
    <t>Strawberry</t>
  </si>
  <si>
    <t xml:space="preserve">Strelitzia </t>
  </si>
  <si>
    <t>Syngonium</t>
  </si>
  <si>
    <t>Tamarillo  [ Ibinyomoro ]</t>
  </si>
  <si>
    <t>Thika Palm</t>
  </si>
  <si>
    <t>Thunbergia erecta</t>
  </si>
  <si>
    <t>Ti Plant [ Umuhati ]</t>
  </si>
  <si>
    <t>Transport</t>
  </si>
  <si>
    <t>Ubusuna bunini</t>
  </si>
  <si>
    <t>Ubusuna buto</t>
  </si>
  <si>
    <t>Udusahane</t>
  </si>
  <si>
    <t>Udushu</t>
  </si>
  <si>
    <t xml:space="preserve">Umucaca </t>
  </si>
  <si>
    <t>Utugozi tumanika  vase  ntoya</t>
  </si>
  <si>
    <t>Umucanga</t>
  </si>
  <si>
    <t>Imyenya</t>
  </si>
  <si>
    <t>Umuhumuza</t>
  </si>
  <si>
    <t xml:space="preserve">utudobo duteyemo indabo </t>
  </si>
  <si>
    <t>Utunyenyeri</t>
  </si>
  <si>
    <t>z-Plant</t>
  </si>
  <si>
    <t>Queen palm</t>
  </si>
  <si>
    <t>Utu vase tw'imivure duto</t>
  </si>
  <si>
    <t>Campanion plant</t>
  </si>
  <si>
    <t>Margaritte (Move)</t>
  </si>
  <si>
    <t>Caver soil</t>
  </si>
  <si>
    <t>White Edged</t>
  </si>
  <si>
    <t>Woll Flower</t>
  </si>
  <si>
    <t>Ama Roma</t>
  </si>
  <si>
    <t>White health</t>
  </si>
  <si>
    <t xml:space="preserve">Carnation </t>
  </si>
  <si>
    <t>Closing Stock</t>
  </si>
  <si>
    <t>Opening Stock</t>
  </si>
  <si>
    <t>New Stock  (Enter)</t>
  </si>
  <si>
    <t>Total Stock</t>
  </si>
  <si>
    <t>Stock out</t>
  </si>
  <si>
    <t>Sales/Unit</t>
  </si>
  <si>
    <t>Total Sale/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</si>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</sst>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;\-0;&quot;-&quot;"/>
    <numFmt numFmtId="165" formatCode="General;\-General;&quot;-&quot;;@"/>
    <numFmt numFmtId="166" formatCode="_(* #,##0_);_(* \(#,##0\);_(* &quot;-&quot;??_);_(@_)"/>
    <numFmt numFmtId="167" formatCode="0;\-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0" fontId="3" fillId="0" borderId="0" xfId="0" applyFont="1"/>
    <xf numFmtId="166" fontId="3" fillId="0" borderId="1" xfId="1" applyNumberFormat="1" applyFont="1" applyBorder="1"/>
    <xf numFmtId="167" fontId="3" fillId="0" borderId="1" xfId="0" applyNumberFormat="1" applyFont="1" applyBorder="1"/>
    <xf numFmtId="166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7:O182"/>
  <sheetViews>
    <sheetView rightToLeft="1" tabSelected="1" topLeftCell="B159" workbookViewId="0">
      <selection activeCell="N178" sqref="N178"/>
    </sheetView>
  </sheetViews>
  <sheetFormatPr defaultRowHeight="13.8" x14ac:dyDescent="0.25"/>
  <sheetData>
    <row r="7" spans="8:15" ht="15.6" x14ac:dyDescent="0.3">
      <c r="H7" s="1" t="s">
        <v>0</v>
      </c>
      <c r="I7" s="6" t="s">
        <v>176</v>
      </c>
      <c r="J7" s="3" t="s">
        <v>177</v>
      </c>
      <c r="K7" s="3" t="s">
        <v>178</v>
      </c>
      <c r="L7" s="1" t="s">
        <v>179</v>
      </c>
      <c r="M7" s="3" t="s">
        <v>175</v>
      </c>
      <c r="N7" s="1" t="s">
        <v>180</v>
      </c>
      <c r="O7" s="1" t="s">
        <v>181</v>
      </c>
    </row>
    <row r="8" spans="8:15" ht="15" x14ac:dyDescent="0.25">
      <c r="H8" s="2" t="s">
        <v>1</v>
      </c>
      <c r="I8" s="7">
        <v>6</v>
      </c>
      <c r="J8" s="4">
        <v>0</v>
      </c>
      <c r="K8" s="4">
        <f>I8+J8</f>
        <v>6</v>
      </c>
      <c r="L8" s="8"/>
      <c r="M8" s="4">
        <f>K8-L17</f>
        <v>6</v>
      </c>
      <c r="N8" s="9">
        <v>7000</v>
      </c>
      <c r="O8" s="9">
        <f>L8*N8</f>
        <v>0</v>
      </c>
    </row>
    <row r="9" spans="8:15" ht="15" x14ac:dyDescent="0.25">
      <c r="H9" s="2" t="s">
        <v>2</v>
      </c>
      <c r="I9" s="7">
        <v>652</v>
      </c>
      <c r="J9" s="4">
        <v>0</v>
      </c>
      <c r="K9" s="4">
        <f t="shared" ref="K9:K72" si="0">I9+J9</f>
        <v>652</v>
      </c>
      <c r="L9" s="10"/>
      <c r="M9" s="4">
        <f t="shared" ref="M9:M72" si="1">K9-L9</f>
        <v>652</v>
      </c>
      <c r="N9" s="9">
        <v>10000</v>
      </c>
      <c r="O9" s="9">
        <f t="shared" ref="O9:O72" si="2">L9*N9</f>
        <v>0</v>
      </c>
    </row>
    <row r="10" spans="8:15" ht="15" x14ac:dyDescent="0.25">
      <c r="H10" s="2" t="s">
        <v>3</v>
      </c>
      <c r="I10" s="7">
        <v>49</v>
      </c>
      <c r="J10" s="4"/>
      <c r="K10" s="4">
        <f t="shared" si="0"/>
        <v>49</v>
      </c>
      <c r="L10" s="10"/>
      <c r="M10" s="4">
        <f>K10-L10</f>
        <v>49</v>
      </c>
      <c r="N10" s="9">
        <v>8000</v>
      </c>
      <c r="O10" s="9">
        <f t="shared" si="2"/>
        <v>0</v>
      </c>
    </row>
    <row r="11" spans="8:15" ht="15" x14ac:dyDescent="0.25">
      <c r="H11" s="2" t="s">
        <v>4</v>
      </c>
      <c r="I11" s="7">
        <v>39</v>
      </c>
      <c r="J11" s="4">
        <v>0</v>
      </c>
      <c r="K11" s="4">
        <f t="shared" si="0"/>
        <v>39</v>
      </c>
      <c r="L11" s="10"/>
      <c r="M11" s="4">
        <f t="shared" si="1"/>
        <v>39</v>
      </c>
      <c r="N11" s="9">
        <v>5000</v>
      </c>
      <c r="O11" s="9">
        <f t="shared" si="2"/>
        <v>0</v>
      </c>
    </row>
    <row r="12" spans="8:15" ht="15" x14ac:dyDescent="0.25">
      <c r="H12" s="2" t="s">
        <v>5</v>
      </c>
      <c r="I12" s="7">
        <v>0</v>
      </c>
      <c r="J12" s="4">
        <v>0</v>
      </c>
      <c r="K12" s="4">
        <f t="shared" si="0"/>
        <v>0</v>
      </c>
      <c r="L12" s="10"/>
      <c r="M12" s="4">
        <f t="shared" si="1"/>
        <v>0</v>
      </c>
      <c r="N12" s="9">
        <v>6000</v>
      </c>
      <c r="O12" s="9"/>
    </row>
    <row r="13" spans="8:15" ht="15" x14ac:dyDescent="0.25">
      <c r="H13" s="2" t="s">
        <v>6</v>
      </c>
      <c r="I13" s="7"/>
      <c r="J13" s="4">
        <v>0</v>
      </c>
      <c r="K13" s="4">
        <f t="shared" si="0"/>
        <v>0</v>
      </c>
      <c r="L13" s="10"/>
      <c r="M13" s="5"/>
      <c r="N13" s="9">
        <v>6000</v>
      </c>
      <c r="O13" s="9"/>
    </row>
    <row r="14" spans="8:15" ht="15" x14ac:dyDescent="0.25">
      <c r="H14" s="2" t="s">
        <v>7</v>
      </c>
      <c r="I14" s="7">
        <v>0</v>
      </c>
      <c r="J14" s="4">
        <v>0</v>
      </c>
      <c r="K14" s="4">
        <f t="shared" si="0"/>
        <v>0</v>
      </c>
      <c r="L14" s="10"/>
      <c r="M14" s="4">
        <f t="shared" si="1"/>
        <v>0</v>
      </c>
      <c r="N14" s="9">
        <v>6000</v>
      </c>
      <c r="O14" s="9"/>
    </row>
    <row r="15" spans="8:15" ht="15" x14ac:dyDescent="0.25">
      <c r="H15" s="2" t="s">
        <v>8</v>
      </c>
      <c r="I15" s="7">
        <v>17</v>
      </c>
      <c r="J15" s="4"/>
      <c r="K15" s="4">
        <f t="shared" si="0"/>
        <v>17</v>
      </c>
      <c r="L15" s="10"/>
      <c r="M15" s="4">
        <f t="shared" si="1"/>
        <v>17</v>
      </c>
      <c r="N15" s="9">
        <v>6000</v>
      </c>
      <c r="O15" s="9">
        <f t="shared" si="2"/>
        <v>0</v>
      </c>
    </row>
    <row r="16" spans="8:15" ht="15" x14ac:dyDescent="0.25">
      <c r="H16" s="2" t="s">
        <v>9</v>
      </c>
      <c r="I16" s="7">
        <v>7</v>
      </c>
      <c r="J16" s="4">
        <v>0</v>
      </c>
      <c r="K16" s="4">
        <f t="shared" si="0"/>
        <v>7</v>
      </c>
      <c r="L16" s="10"/>
      <c r="M16" s="4">
        <f t="shared" si="1"/>
        <v>7</v>
      </c>
      <c r="N16" s="9">
        <v>10000</v>
      </c>
      <c r="O16" s="9">
        <f t="shared" si="2"/>
        <v>0</v>
      </c>
    </row>
    <row r="17" spans="8:15" ht="15" x14ac:dyDescent="0.25">
      <c r="H17" s="2" t="s">
        <v>10</v>
      </c>
      <c r="I17" s="7"/>
      <c r="J17" s="4">
        <v>0</v>
      </c>
      <c r="K17" s="4">
        <f t="shared" si="0"/>
        <v>0</v>
      </c>
      <c r="L17" s="10"/>
      <c r="M17" s="4"/>
      <c r="N17" s="9">
        <v>15000</v>
      </c>
      <c r="O17" s="9"/>
    </row>
    <row r="18" spans="8:15" ht="15" x14ac:dyDescent="0.25">
      <c r="H18" s="2" t="s">
        <v>11</v>
      </c>
      <c r="I18" s="7">
        <v>17</v>
      </c>
      <c r="J18" s="4">
        <v>0</v>
      </c>
      <c r="K18" s="4">
        <f t="shared" si="0"/>
        <v>17</v>
      </c>
      <c r="L18" s="10"/>
      <c r="M18" s="4">
        <f t="shared" si="1"/>
        <v>17</v>
      </c>
      <c r="N18" s="9">
        <v>8000</v>
      </c>
      <c r="O18" s="9">
        <f t="shared" si="2"/>
        <v>0</v>
      </c>
    </row>
    <row r="19" spans="8:15" ht="15" x14ac:dyDescent="0.25">
      <c r="H19" s="2" t="s">
        <v>12</v>
      </c>
      <c r="I19" s="7">
        <v>107</v>
      </c>
      <c r="J19" s="4">
        <v>0</v>
      </c>
      <c r="K19" s="4">
        <f t="shared" si="0"/>
        <v>107</v>
      </c>
      <c r="L19" s="10"/>
      <c r="M19" s="4">
        <f t="shared" si="1"/>
        <v>107</v>
      </c>
      <c r="N19" s="9">
        <v>6000</v>
      </c>
      <c r="O19" s="9">
        <f t="shared" si="2"/>
        <v>0</v>
      </c>
    </row>
    <row r="20" spans="8:15" ht="15" x14ac:dyDescent="0.25">
      <c r="H20" s="2" t="s">
        <v>13</v>
      </c>
      <c r="I20" s="7">
        <v>46</v>
      </c>
      <c r="J20" s="4">
        <v>0</v>
      </c>
      <c r="K20" s="4">
        <f t="shared" si="0"/>
        <v>46</v>
      </c>
      <c r="L20" s="10"/>
      <c r="M20" s="4">
        <f t="shared" si="1"/>
        <v>46</v>
      </c>
      <c r="N20" s="9">
        <v>5000</v>
      </c>
      <c r="O20" s="9">
        <f t="shared" si="2"/>
        <v>0</v>
      </c>
    </row>
    <row r="21" spans="8:15" ht="15" x14ac:dyDescent="0.25">
      <c r="H21" s="2" t="s">
        <v>14</v>
      </c>
      <c r="I21" s="7">
        <v>55</v>
      </c>
      <c r="J21" s="4">
        <v>0</v>
      </c>
      <c r="K21" s="4">
        <f t="shared" si="0"/>
        <v>55</v>
      </c>
      <c r="L21" s="10"/>
      <c r="M21" s="4">
        <f t="shared" si="1"/>
        <v>55</v>
      </c>
      <c r="N21" s="9">
        <v>6000</v>
      </c>
      <c r="O21" s="9">
        <f t="shared" si="2"/>
        <v>0</v>
      </c>
    </row>
    <row r="22" spans="8:15" ht="15" x14ac:dyDescent="0.25">
      <c r="H22" s="2" t="s">
        <v>15</v>
      </c>
      <c r="I22" s="7">
        <v>181</v>
      </c>
      <c r="J22" s="4">
        <v>0</v>
      </c>
      <c r="K22" s="4">
        <f t="shared" si="0"/>
        <v>181</v>
      </c>
      <c r="L22" s="10"/>
      <c r="M22" s="4">
        <f t="shared" si="1"/>
        <v>181</v>
      </c>
      <c r="N22" s="9">
        <v>6000</v>
      </c>
      <c r="O22" s="9">
        <f>L22*N22</f>
        <v>0</v>
      </c>
    </row>
    <row r="23" spans="8:15" ht="15" x14ac:dyDescent="0.25">
      <c r="H23" s="2" t="s">
        <v>16</v>
      </c>
      <c r="I23" s="7">
        <v>105</v>
      </c>
      <c r="J23" s="4">
        <v>0</v>
      </c>
      <c r="K23" s="4">
        <f t="shared" si="0"/>
        <v>105</v>
      </c>
      <c r="L23" s="10"/>
      <c r="M23" s="4">
        <f t="shared" si="1"/>
        <v>105</v>
      </c>
      <c r="N23" s="9">
        <v>8000</v>
      </c>
      <c r="O23" s="9">
        <f t="shared" si="2"/>
        <v>0</v>
      </c>
    </row>
    <row r="24" spans="8:15" ht="15" x14ac:dyDescent="0.25">
      <c r="H24" s="2" t="s">
        <v>17</v>
      </c>
      <c r="I24" s="7">
        <v>53</v>
      </c>
      <c r="J24" s="4">
        <v>0</v>
      </c>
      <c r="K24" s="4">
        <f t="shared" si="0"/>
        <v>53</v>
      </c>
      <c r="L24" s="10"/>
      <c r="M24" s="4">
        <f t="shared" si="1"/>
        <v>53</v>
      </c>
      <c r="N24" s="9">
        <v>6000</v>
      </c>
      <c r="O24" s="9">
        <f t="shared" si="2"/>
        <v>0</v>
      </c>
    </row>
    <row r="25" spans="8:15" ht="15" x14ac:dyDescent="0.25">
      <c r="H25" s="2" t="s">
        <v>18</v>
      </c>
      <c r="I25" s="7">
        <v>281</v>
      </c>
      <c r="J25" s="4">
        <v>0</v>
      </c>
      <c r="K25" s="4">
        <f t="shared" si="0"/>
        <v>281</v>
      </c>
      <c r="L25" s="10"/>
      <c r="M25" s="4">
        <f t="shared" si="1"/>
        <v>281</v>
      </c>
      <c r="N25" s="9">
        <v>6000</v>
      </c>
      <c r="O25" s="9"/>
    </row>
    <row r="26" spans="8:15" ht="15" x14ac:dyDescent="0.25">
      <c r="H26" s="2" t="s">
        <v>19</v>
      </c>
      <c r="I26" s="7">
        <v>15</v>
      </c>
      <c r="J26" s="4">
        <v>0</v>
      </c>
      <c r="K26" s="4">
        <f t="shared" si="0"/>
        <v>15</v>
      </c>
      <c r="L26" s="10"/>
      <c r="M26" s="4">
        <f t="shared" si="1"/>
        <v>15</v>
      </c>
      <c r="N26" s="9">
        <v>15000</v>
      </c>
      <c r="O26" s="9">
        <f t="shared" si="2"/>
        <v>0</v>
      </c>
    </row>
    <row r="27" spans="8:15" ht="15" x14ac:dyDescent="0.25">
      <c r="H27" s="2" t="s">
        <v>20</v>
      </c>
      <c r="I27" s="7">
        <v>288</v>
      </c>
      <c r="J27" s="4">
        <v>0</v>
      </c>
      <c r="K27" s="4">
        <f t="shared" si="0"/>
        <v>288</v>
      </c>
      <c r="L27" s="10"/>
      <c r="M27" s="4">
        <f t="shared" si="1"/>
        <v>288</v>
      </c>
      <c r="N27" s="9">
        <v>6000</v>
      </c>
      <c r="O27" s="9">
        <f t="shared" si="2"/>
        <v>0</v>
      </c>
    </row>
    <row r="28" spans="8:15" ht="15" x14ac:dyDescent="0.25">
      <c r="H28" s="2" t="s">
        <v>21</v>
      </c>
      <c r="I28" s="7">
        <v>18</v>
      </c>
      <c r="J28" s="4">
        <v>0</v>
      </c>
      <c r="K28" s="4">
        <f t="shared" si="0"/>
        <v>18</v>
      </c>
      <c r="L28" s="10"/>
      <c r="M28" s="4">
        <f t="shared" si="1"/>
        <v>18</v>
      </c>
      <c r="N28" s="9">
        <v>6000</v>
      </c>
      <c r="O28" s="9">
        <f t="shared" si="2"/>
        <v>0</v>
      </c>
    </row>
    <row r="29" spans="8:15" ht="15" x14ac:dyDescent="0.25">
      <c r="H29" s="2" t="s">
        <v>22</v>
      </c>
      <c r="I29" s="7">
        <v>36</v>
      </c>
      <c r="J29" s="4">
        <v>0</v>
      </c>
      <c r="K29" s="4">
        <f t="shared" si="0"/>
        <v>36</v>
      </c>
      <c r="L29" s="10"/>
      <c r="M29" s="4">
        <f t="shared" si="1"/>
        <v>36</v>
      </c>
      <c r="N29" s="9">
        <v>6000</v>
      </c>
      <c r="O29" s="9">
        <f t="shared" si="2"/>
        <v>0</v>
      </c>
    </row>
    <row r="30" spans="8:15" ht="15" x14ac:dyDescent="0.25">
      <c r="H30" s="2" t="s">
        <v>23</v>
      </c>
      <c r="I30" s="7">
        <v>60</v>
      </c>
      <c r="J30" s="4">
        <v>0</v>
      </c>
      <c r="K30" s="4">
        <f t="shared" si="0"/>
        <v>60</v>
      </c>
      <c r="L30" s="10"/>
      <c r="M30" s="4">
        <f t="shared" si="1"/>
        <v>60</v>
      </c>
      <c r="N30" s="9">
        <v>6000</v>
      </c>
      <c r="O30" s="9">
        <f t="shared" si="2"/>
        <v>0</v>
      </c>
    </row>
    <row r="31" spans="8:15" ht="15" x14ac:dyDescent="0.25">
      <c r="H31" s="2" t="s">
        <v>24</v>
      </c>
      <c r="I31" s="7">
        <v>15</v>
      </c>
      <c r="J31" s="4">
        <v>0</v>
      </c>
      <c r="K31" s="4">
        <f t="shared" si="0"/>
        <v>15</v>
      </c>
      <c r="L31" s="10"/>
      <c r="M31" s="4">
        <f t="shared" si="1"/>
        <v>15</v>
      </c>
      <c r="N31" s="9">
        <v>6000</v>
      </c>
      <c r="O31" s="9">
        <f t="shared" si="2"/>
        <v>0</v>
      </c>
    </row>
    <row r="32" spans="8:15" ht="15" x14ac:dyDescent="0.25">
      <c r="H32" s="2" t="s">
        <v>25</v>
      </c>
      <c r="I32" s="7">
        <v>153</v>
      </c>
      <c r="J32" s="4">
        <v>0</v>
      </c>
      <c r="K32" s="4">
        <f t="shared" si="0"/>
        <v>153</v>
      </c>
      <c r="L32" s="10"/>
      <c r="M32" s="4">
        <f t="shared" si="1"/>
        <v>153</v>
      </c>
      <c r="N32" s="9">
        <v>10000</v>
      </c>
      <c r="O32" s="9">
        <f t="shared" si="2"/>
        <v>0</v>
      </c>
    </row>
    <row r="33" spans="8:15" ht="15" x14ac:dyDescent="0.25">
      <c r="H33" s="2" t="s">
        <v>26</v>
      </c>
      <c r="I33" s="7">
        <v>39</v>
      </c>
      <c r="J33" s="4">
        <v>0</v>
      </c>
      <c r="K33" s="4">
        <f t="shared" si="0"/>
        <v>39</v>
      </c>
      <c r="L33" s="10"/>
      <c r="M33" s="4">
        <f t="shared" si="1"/>
        <v>39</v>
      </c>
      <c r="N33" s="9">
        <v>8000</v>
      </c>
      <c r="O33" s="9">
        <f t="shared" si="2"/>
        <v>0</v>
      </c>
    </row>
    <row r="34" spans="8:15" ht="15" x14ac:dyDescent="0.25">
      <c r="H34" s="2" t="s">
        <v>27</v>
      </c>
      <c r="I34" s="7">
        <v>14</v>
      </c>
      <c r="J34" s="4">
        <v>0</v>
      </c>
      <c r="K34" s="4">
        <f t="shared" si="0"/>
        <v>14</v>
      </c>
      <c r="L34" s="10"/>
      <c r="M34" s="4">
        <f t="shared" si="1"/>
        <v>14</v>
      </c>
      <c r="N34" s="9">
        <v>5000</v>
      </c>
      <c r="O34" s="9">
        <f t="shared" si="2"/>
        <v>0</v>
      </c>
    </row>
    <row r="35" spans="8:15" ht="15" x14ac:dyDescent="0.25">
      <c r="H35" s="2" t="s">
        <v>28</v>
      </c>
      <c r="I35" s="7">
        <v>0</v>
      </c>
      <c r="J35" s="4">
        <v>0</v>
      </c>
      <c r="K35" s="4">
        <f t="shared" si="0"/>
        <v>0</v>
      </c>
      <c r="L35" s="10"/>
      <c r="M35" s="4">
        <f t="shared" si="1"/>
        <v>0</v>
      </c>
      <c r="N35" s="9">
        <v>6000</v>
      </c>
      <c r="O35" s="9">
        <f t="shared" si="2"/>
        <v>0</v>
      </c>
    </row>
    <row r="36" spans="8:15" ht="15" x14ac:dyDescent="0.25">
      <c r="H36" s="2" t="s">
        <v>29</v>
      </c>
      <c r="I36" s="7">
        <v>8</v>
      </c>
      <c r="J36" s="4">
        <v>0</v>
      </c>
      <c r="K36" s="4">
        <f t="shared" si="0"/>
        <v>8</v>
      </c>
      <c r="L36" s="10"/>
      <c r="M36" s="4">
        <f t="shared" si="1"/>
        <v>8</v>
      </c>
      <c r="N36" s="9">
        <v>6000</v>
      </c>
      <c r="O36" s="9">
        <f t="shared" si="2"/>
        <v>0</v>
      </c>
    </row>
    <row r="37" spans="8:15" ht="15" x14ac:dyDescent="0.25">
      <c r="H37" s="2" t="s">
        <v>30</v>
      </c>
      <c r="I37" s="7">
        <v>709</v>
      </c>
      <c r="J37" s="4">
        <v>0</v>
      </c>
      <c r="K37" s="4">
        <f t="shared" si="0"/>
        <v>709</v>
      </c>
      <c r="L37" s="10"/>
      <c r="M37" s="4">
        <f t="shared" si="1"/>
        <v>709</v>
      </c>
      <c r="N37" s="9">
        <v>6000</v>
      </c>
      <c r="O37" s="9">
        <f t="shared" si="2"/>
        <v>0</v>
      </c>
    </row>
    <row r="38" spans="8:15" ht="15" x14ac:dyDescent="0.25">
      <c r="H38" s="2" t="s">
        <v>31</v>
      </c>
      <c r="I38" s="7">
        <v>277</v>
      </c>
      <c r="J38" s="4">
        <v>0</v>
      </c>
      <c r="K38" s="4">
        <f t="shared" si="0"/>
        <v>277</v>
      </c>
      <c r="L38" s="10"/>
      <c r="M38" s="4">
        <f t="shared" si="1"/>
        <v>277</v>
      </c>
      <c r="N38" s="9">
        <v>9000</v>
      </c>
      <c r="O38" s="9">
        <f t="shared" si="2"/>
        <v>0</v>
      </c>
    </row>
    <row r="39" spans="8:15" ht="15" x14ac:dyDescent="0.25">
      <c r="H39" s="2" t="s">
        <v>32</v>
      </c>
      <c r="I39" s="7">
        <v>49</v>
      </c>
      <c r="J39" s="4">
        <v>0</v>
      </c>
      <c r="K39" s="4">
        <f t="shared" si="0"/>
        <v>49</v>
      </c>
      <c r="L39" s="10"/>
      <c r="M39" s="4">
        <f t="shared" si="1"/>
        <v>49</v>
      </c>
      <c r="N39" s="9">
        <v>6000</v>
      </c>
      <c r="O39" s="9">
        <f t="shared" si="2"/>
        <v>0</v>
      </c>
    </row>
    <row r="40" spans="8:15" ht="15" x14ac:dyDescent="0.25">
      <c r="H40" s="2" t="s">
        <v>33</v>
      </c>
      <c r="I40" s="7">
        <v>5</v>
      </c>
      <c r="J40" s="4">
        <v>0</v>
      </c>
      <c r="K40" s="4">
        <f t="shared" si="0"/>
        <v>5</v>
      </c>
      <c r="L40" s="10"/>
      <c r="M40" s="4">
        <f t="shared" si="1"/>
        <v>5</v>
      </c>
      <c r="N40" s="9">
        <v>6000</v>
      </c>
      <c r="O40" s="9">
        <f t="shared" si="2"/>
        <v>0</v>
      </c>
    </row>
    <row r="41" spans="8:15" ht="15" x14ac:dyDescent="0.25">
      <c r="H41" s="2" t="s">
        <v>34</v>
      </c>
      <c r="I41" s="7">
        <v>1</v>
      </c>
      <c r="J41" s="4">
        <v>0</v>
      </c>
      <c r="K41" s="4">
        <f t="shared" si="0"/>
        <v>1</v>
      </c>
      <c r="L41" s="10"/>
      <c r="M41" s="4">
        <f t="shared" si="1"/>
        <v>1</v>
      </c>
      <c r="N41" s="9">
        <v>6000</v>
      </c>
      <c r="O41" s="9">
        <f t="shared" si="2"/>
        <v>0</v>
      </c>
    </row>
    <row r="42" spans="8:15" ht="15" x14ac:dyDescent="0.25">
      <c r="H42" s="2" t="s">
        <v>35</v>
      </c>
      <c r="I42" s="7">
        <v>62</v>
      </c>
      <c r="J42" s="4">
        <v>0</v>
      </c>
      <c r="K42" s="4">
        <f t="shared" si="0"/>
        <v>62</v>
      </c>
      <c r="L42" s="10"/>
      <c r="M42" s="4">
        <f t="shared" si="1"/>
        <v>62</v>
      </c>
      <c r="N42" s="9">
        <v>7000</v>
      </c>
      <c r="O42" s="9">
        <f t="shared" si="2"/>
        <v>0</v>
      </c>
    </row>
    <row r="43" spans="8:15" ht="15" x14ac:dyDescent="0.25">
      <c r="H43" s="2" t="s">
        <v>36</v>
      </c>
      <c r="I43" s="7">
        <v>21</v>
      </c>
      <c r="J43" s="4">
        <v>0</v>
      </c>
      <c r="K43" s="4">
        <f t="shared" si="0"/>
        <v>21</v>
      </c>
      <c r="L43" s="10"/>
      <c r="M43" s="4">
        <f t="shared" si="1"/>
        <v>21</v>
      </c>
      <c r="N43" s="9">
        <v>6000</v>
      </c>
      <c r="O43" s="9">
        <f t="shared" si="2"/>
        <v>0</v>
      </c>
    </row>
    <row r="44" spans="8:15" ht="15" x14ac:dyDescent="0.25">
      <c r="H44" s="2" t="s">
        <v>37</v>
      </c>
      <c r="I44" s="7">
        <v>877</v>
      </c>
      <c r="J44" s="4">
        <v>0</v>
      </c>
      <c r="K44" s="4">
        <f t="shared" si="0"/>
        <v>877</v>
      </c>
      <c r="L44" s="10"/>
      <c r="M44" s="4">
        <f t="shared" si="1"/>
        <v>877</v>
      </c>
      <c r="N44" s="9">
        <v>5000</v>
      </c>
      <c r="O44" s="9">
        <f t="shared" si="2"/>
        <v>0</v>
      </c>
    </row>
    <row r="45" spans="8:15" ht="15" x14ac:dyDescent="0.25">
      <c r="H45" s="2" t="s">
        <v>38</v>
      </c>
      <c r="I45" s="7">
        <v>59</v>
      </c>
      <c r="J45" s="4">
        <v>0</v>
      </c>
      <c r="K45" s="4">
        <f t="shared" si="0"/>
        <v>59</v>
      </c>
      <c r="L45" s="10"/>
      <c r="M45" s="4">
        <f t="shared" si="1"/>
        <v>59</v>
      </c>
      <c r="N45" s="9">
        <v>10000</v>
      </c>
      <c r="O45" s="9">
        <f t="shared" si="2"/>
        <v>0</v>
      </c>
    </row>
    <row r="46" spans="8:15" ht="15" x14ac:dyDescent="0.25">
      <c r="H46" s="2" t="s">
        <v>39</v>
      </c>
      <c r="I46" s="7">
        <v>45</v>
      </c>
      <c r="J46" s="4">
        <v>0</v>
      </c>
      <c r="K46" s="4">
        <f t="shared" si="0"/>
        <v>45</v>
      </c>
      <c r="L46" s="10"/>
      <c r="M46" s="4">
        <f t="shared" si="1"/>
        <v>45</v>
      </c>
      <c r="N46" s="9">
        <v>7000</v>
      </c>
      <c r="O46" s="9">
        <f t="shared" si="2"/>
        <v>0</v>
      </c>
    </row>
    <row r="47" spans="8:15" ht="15" x14ac:dyDescent="0.25">
      <c r="H47" s="2" t="s">
        <v>40</v>
      </c>
      <c r="I47" s="7">
        <v>40</v>
      </c>
      <c r="J47" s="4">
        <v>0</v>
      </c>
      <c r="K47" s="4">
        <f t="shared" si="0"/>
        <v>40</v>
      </c>
      <c r="L47" s="10"/>
      <c r="M47" s="4">
        <f t="shared" si="1"/>
        <v>40</v>
      </c>
      <c r="N47" s="9">
        <v>6000</v>
      </c>
      <c r="O47" s="9">
        <f t="shared" si="2"/>
        <v>0</v>
      </c>
    </row>
    <row r="48" spans="8:15" ht="15" x14ac:dyDescent="0.25">
      <c r="H48" s="2" t="s">
        <v>41</v>
      </c>
      <c r="I48" s="7">
        <v>9</v>
      </c>
      <c r="J48" s="4">
        <v>0</v>
      </c>
      <c r="K48" s="4">
        <f t="shared" si="0"/>
        <v>9</v>
      </c>
      <c r="L48" s="10"/>
      <c r="M48" s="4">
        <f t="shared" si="1"/>
        <v>9</v>
      </c>
      <c r="N48" s="9">
        <v>6000</v>
      </c>
      <c r="O48" s="9">
        <f t="shared" si="2"/>
        <v>0</v>
      </c>
    </row>
    <row r="49" spans="8:15" ht="15" x14ac:dyDescent="0.25">
      <c r="H49" s="2" t="s">
        <v>42</v>
      </c>
      <c r="I49" s="7">
        <v>25</v>
      </c>
      <c r="J49" s="4">
        <v>0</v>
      </c>
      <c r="K49" s="4">
        <f t="shared" si="0"/>
        <v>25</v>
      </c>
      <c r="L49" s="10"/>
      <c r="M49" s="4">
        <f t="shared" si="1"/>
        <v>25</v>
      </c>
      <c r="N49" s="9">
        <v>5000</v>
      </c>
      <c r="O49" s="9">
        <f t="shared" si="2"/>
        <v>0</v>
      </c>
    </row>
    <row r="50" spans="8:15" ht="15" x14ac:dyDescent="0.25">
      <c r="H50" s="2" t="s">
        <v>43</v>
      </c>
      <c r="I50" s="7">
        <v>36</v>
      </c>
      <c r="J50" s="4"/>
      <c r="K50" s="4">
        <f t="shared" si="0"/>
        <v>36</v>
      </c>
      <c r="L50" s="10"/>
      <c r="M50" s="4">
        <f>K50-L50</f>
        <v>36</v>
      </c>
      <c r="N50" s="9">
        <v>6000</v>
      </c>
      <c r="O50" s="9">
        <f t="shared" si="2"/>
        <v>0</v>
      </c>
    </row>
    <row r="51" spans="8:15" ht="15" x14ac:dyDescent="0.25">
      <c r="H51" s="2" t="s">
        <v>44</v>
      </c>
      <c r="I51" s="7">
        <v>73</v>
      </c>
      <c r="J51" s="4">
        <v>0</v>
      </c>
      <c r="K51" s="4">
        <f t="shared" si="0"/>
        <v>73</v>
      </c>
      <c r="L51" s="10"/>
      <c r="M51" s="4">
        <f t="shared" si="1"/>
        <v>73</v>
      </c>
      <c r="N51" s="9">
        <v>6000</v>
      </c>
      <c r="O51" s="9">
        <f t="shared" si="2"/>
        <v>0</v>
      </c>
    </row>
    <row r="52" spans="8:15" ht="15" x14ac:dyDescent="0.25">
      <c r="H52" s="2" t="s">
        <v>45</v>
      </c>
      <c r="I52" s="7">
        <v>73</v>
      </c>
      <c r="J52" s="4">
        <v>0</v>
      </c>
      <c r="K52" s="4">
        <f t="shared" si="0"/>
        <v>73</v>
      </c>
      <c r="L52" s="10"/>
      <c r="M52" s="4">
        <f t="shared" si="1"/>
        <v>73</v>
      </c>
      <c r="N52" s="9">
        <v>7000</v>
      </c>
      <c r="O52" s="9">
        <f t="shared" si="2"/>
        <v>0</v>
      </c>
    </row>
    <row r="53" spans="8:15" ht="15" x14ac:dyDescent="0.25">
      <c r="H53" s="2" t="s">
        <v>46</v>
      </c>
      <c r="I53" s="7">
        <v>245</v>
      </c>
      <c r="J53" s="4">
        <v>0</v>
      </c>
      <c r="K53" s="4">
        <f t="shared" si="0"/>
        <v>245</v>
      </c>
      <c r="L53" s="10"/>
      <c r="M53" s="4">
        <f t="shared" si="1"/>
        <v>245</v>
      </c>
      <c r="N53" s="9">
        <v>6000</v>
      </c>
      <c r="O53" s="9">
        <f t="shared" si="2"/>
        <v>0</v>
      </c>
    </row>
    <row r="54" spans="8:15" ht="15" x14ac:dyDescent="0.25">
      <c r="H54" s="2" t="s">
        <v>47</v>
      </c>
      <c r="I54" s="7">
        <v>212</v>
      </c>
      <c r="J54" s="4">
        <v>0</v>
      </c>
      <c r="K54" s="4">
        <f t="shared" si="0"/>
        <v>212</v>
      </c>
      <c r="L54" s="10"/>
      <c r="M54" s="4">
        <f t="shared" si="1"/>
        <v>212</v>
      </c>
      <c r="N54" s="9">
        <v>6000</v>
      </c>
      <c r="O54" s="9">
        <f t="shared" si="2"/>
        <v>0</v>
      </c>
    </row>
    <row r="55" spans="8:15" ht="15" x14ac:dyDescent="0.25">
      <c r="H55" s="2" t="s">
        <v>48</v>
      </c>
      <c r="I55" s="7">
        <v>6</v>
      </c>
      <c r="J55" s="4">
        <v>0</v>
      </c>
      <c r="K55" s="4">
        <f t="shared" si="0"/>
        <v>6</v>
      </c>
      <c r="L55" s="10"/>
      <c r="M55" s="4">
        <f t="shared" si="1"/>
        <v>6</v>
      </c>
      <c r="N55" s="9">
        <v>6000</v>
      </c>
      <c r="O55" s="9">
        <f t="shared" si="2"/>
        <v>0</v>
      </c>
    </row>
    <row r="56" spans="8:15" ht="15" x14ac:dyDescent="0.25">
      <c r="H56" s="2" t="s">
        <v>49</v>
      </c>
      <c r="I56" s="7">
        <v>6</v>
      </c>
      <c r="J56" s="4">
        <v>0</v>
      </c>
      <c r="K56" s="4">
        <f t="shared" si="0"/>
        <v>6</v>
      </c>
      <c r="L56" s="10"/>
      <c r="M56" s="4">
        <f t="shared" si="1"/>
        <v>6</v>
      </c>
      <c r="N56" s="9">
        <v>6000</v>
      </c>
      <c r="O56" s="9">
        <f t="shared" si="2"/>
        <v>0</v>
      </c>
    </row>
    <row r="57" spans="8:15" ht="15" x14ac:dyDescent="0.25">
      <c r="H57" s="2" t="s">
        <v>50</v>
      </c>
      <c r="I57" s="7">
        <v>20</v>
      </c>
      <c r="J57" s="4">
        <v>0</v>
      </c>
      <c r="K57" s="4">
        <f t="shared" si="0"/>
        <v>20</v>
      </c>
      <c r="L57" s="10"/>
      <c r="M57" s="4">
        <f>K57-L57</f>
        <v>20</v>
      </c>
      <c r="N57" s="9">
        <v>6000</v>
      </c>
      <c r="O57" s="9">
        <f>L57*N57</f>
        <v>0</v>
      </c>
    </row>
    <row r="58" spans="8:15" ht="15" x14ac:dyDescent="0.25">
      <c r="H58" s="2" t="s">
        <v>51</v>
      </c>
      <c r="I58" s="7">
        <v>80</v>
      </c>
      <c r="J58" s="4"/>
      <c r="K58" s="4">
        <f>I58+J58</f>
        <v>80</v>
      </c>
      <c r="L58" s="10"/>
      <c r="M58" s="4">
        <f t="shared" si="1"/>
        <v>80</v>
      </c>
      <c r="N58" s="9">
        <v>6000</v>
      </c>
      <c r="O58" s="9">
        <f t="shared" si="2"/>
        <v>0</v>
      </c>
    </row>
    <row r="59" spans="8:15" ht="15" x14ac:dyDescent="0.25">
      <c r="H59" s="2" t="s">
        <v>52</v>
      </c>
      <c r="I59" s="7">
        <v>17</v>
      </c>
      <c r="J59" s="4">
        <v>0</v>
      </c>
      <c r="K59" s="4">
        <f t="shared" si="0"/>
        <v>17</v>
      </c>
      <c r="L59" s="10"/>
      <c r="M59" s="4">
        <f t="shared" si="1"/>
        <v>17</v>
      </c>
      <c r="N59" s="9">
        <v>10000</v>
      </c>
      <c r="O59" s="9">
        <f t="shared" si="2"/>
        <v>0</v>
      </c>
    </row>
    <row r="60" spans="8:15" ht="15" x14ac:dyDescent="0.25">
      <c r="H60" s="2" t="s">
        <v>53</v>
      </c>
      <c r="I60" s="7">
        <v>19</v>
      </c>
      <c r="J60" s="4">
        <v>0</v>
      </c>
      <c r="K60" s="4">
        <f t="shared" si="0"/>
        <v>19</v>
      </c>
      <c r="L60" s="10"/>
      <c r="M60" s="4">
        <f t="shared" si="1"/>
        <v>19</v>
      </c>
      <c r="N60" s="9">
        <v>8000</v>
      </c>
      <c r="O60" s="9">
        <f t="shared" si="2"/>
        <v>0</v>
      </c>
    </row>
    <row r="61" spans="8:15" ht="15" x14ac:dyDescent="0.25">
      <c r="H61" s="2" t="s">
        <v>54</v>
      </c>
      <c r="I61" s="7">
        <v>26</v>
      </c>
      <c r="J61" s="4">
        <v>0</v>
      </c>
      <c r="K61" s="4">
        <f t="shared" si="0"/>
        <v>26</v>
      </c>
      <c r="L61" s="10"/>
      <c r="M61" s="4">
        <f t="shared" si="1"/>
        <v>26</v>
      </c>
      <c r="N61" s="9">
        <v>8000</v>
      </c>
      <c r="O61" s="9">
        <f t="shared" si="2"/>
        <v>0</v>
      </c>
    </row>
    <row r="62" spans="8:15" ht="15" x14ac:dyDescent="0.25">
      <c r="H62" s="2" t="s">
        <v>55</v>
      </c>
      <c r="I62" s="7">
        <v>462</v>
      </c>
      <c r="J62" s="4">
        <v>0</v>
      </c>
      <c r="K62" s="4">
        <f t="shared" si="0"/>
        <v>462</v>
      </c>
      <c r="L62" s="10"/>
      <c r="M62" s="4">
        <f>K62-L62</f>
        <v>462</v>
      </c>
      <c r="N62" s="9">
        <v>6000</v>
      </c>
      <c r="O62" s="9">
        <f t="shared" si="2"/>
        <v>0</v>
      </c>
    </row>
    <row r="63" spans="8:15" ht="15" x14ac:dyDescent="0.25">
      <c r="H63" s="2" t="s">
        <v>56</v>
      </c>
      <c r="I63" s="7">
        <v>37</v>
      </c>
      <c r="J63" s="4">
        <v>0</v>
      </c>
      <c r="K63" s="4">
        <f t="shared" si="0"/>
        <v>37</v>
      </c>
      <c r="L63" s="10"/>
      <c r="M63" s="4">
        <f t="shared" si="1"/>
        <v>37</v>
      </c>
      <c r="N63" s="9">
        <v>8000</v>
      </c>
      <c r="O63" s="9">
        <f t="shared" si="2"/>
        <v>0</v>
      </c>
    </row>
    <row r="64" spans="8:15" ht="15" x14ac:dyDescent="0.25">
      <c r="H64" s="2" t="s">
        <v>57</v>
      </c>
      <c r="I64" s="7">
        <v>1227</v>
      </c>
      <c r="J64" s="4">
        <v>0</v>
      </c>
      <c r="K64" s="4">
        <f t="shared" si="0"/>
        <v>1227</v>
      </c>
      <c r="L64" s="10"/>
      <c r="M64" s="4">
        <f t="shared" si="1"/>
        <v>1227</v>
      </c>
      <c r="N64" s="9">
        <v>8000</v>
      </c>
      <c r="O64" s="9">
        <f t="shared" si="2"/>
        <v>0</v>
      </c>
    </row>
    <row r="65" spans="8:15" ht="15" x14ac:dyDescent="0.25">
      <c r="H65" s="2" t="s">
        <v>58</v>
      </c>
      <c r="I65" s="7">
        <v>16</v>
      </c>
      <c r="J65" s="4">
        <v>0</v>
      </c>
      <c r="K65" s="4">
        <f t="shared" si="0"/>
        <v>16</v>
      </c>
      <c r="L65" s="10"/>
      <c r="M65" s="4">
        <f t="shared" si="1"/>
        <v>16</v>
      </c>
      <c r="N65" s="9">
        <v>6000</v>
      </c>
      <c r="O65" s="9">
        <f t="shared" si="2"/>
        <v>0</v>
      </c>
    </row>
    <row r="66" spans="8:15" ht="15" x14ac:dyDescent="0.25">
      <c r="H66" s="2" t="s">
        <v>59</v>
      </c>
      <c r="I66" s="7">
        <v>220</v>
      </c>
      <c r="J66" s="4">
        <v>0</v>
      </c>
      <c r="K66" s="4">
        <f t="shared" si="0"/>
        <v>220</v>
      </c>
      <c r="L66" s="10"/>
      <c r="M66" s="4">
        <f t="shared" si="1"/>
        <v>220</v>
      </c>
      <c r="N66" s="9">
        <v>6000</v>
      </c>
      <c r="O66" s="9">
        <f t="shared" si="2"/>
        <v>0</v>
      </c>
    </row>
    <row r="67" spans="8:15" ht="15" x14ac:dyDescent="0.25">
      <c r="H67" s="2" t="s">
        <v>60</v>
      </c>
      <c r="I67" s="7">
        <v>6</v>
      </c>
      <c r="J67" s="4">
        <v>0</v>
      </c>
      <c r="K67" s="4">
        <f t="shared" si="0"/>
        <v>6</v>
      </c>
      <c r="L67" s="10"/>
      <c r="M67" s="4">
        <f t="shared" si="1"/>
        <v>6</v>
      </c>
      <c r="N67" s="9">
        <v>7000</v>
      </c>
      <c r="O67" s="9">
        <f t="shared" si="2"/>
        <v>0</v>
      </c>
    </row>
    <row r="68" spans="8:15" ht="15" x14ac:dyDescent="0.25">
      <c r="H68" s="2" t="s">
        <v>61</v>
      </c>
      <c r="I68" s="7"/>
      <c r="J68" s="4">
        <v>0</v>
      </c>
      <c r="K68" s="4">
        <f t="shared" si="0"/>
        <v>0</v>
      </c>
      <c r="L68" s="10"/>
      <c r="M68" s="4"/>
      <c r="N68" s="9">
        <v>6000</v>
      </c>
      <c r="O68" s="9"/>
    </row>
    <row r="69" spans="8:15" ht="15" x14ac:dyDescent="0.25">
      <c r="H69" s="2" t="s">
        <v>62</v>
      </c>
      <c r="I69" s="7">
        <v>56</v>
      </c>
      <c r="J69" s="4">
        <v>0</v>
      </c>
      <c r="K69" s="4">
        <f t="shared" si="0"/>
        <v>56</v>
      </c>
      <c r="L69" s="10"/>
      <c r="M69" s="4">
        <f t="shared" si="1"/>
        <v>56</v>
      </c>
      <c r="N69" s="9">
        <v>6000</v>
      </c>
      <c r="O69" s="9">
        <f t="shared" si="2"/>
        <v>0</v>
      </c>
    </row>
    <row r="70" spans="8:15" ht="15" x14ac:dyDescent="0.25">
      <c r="H70" s="2" t="s">
        <v>63</v>
      </c>
      <c r="I70" s="7">
        <v>18</v>
      </c>
      <c r="J70" s="4">
        <v>0</v>
      </c>
      <c r="K70" s="4">
        <f t="shared" si="0"/>
        <v>18</v>
      </c>
      <c r="L70" s="10"/>
      <c r="M70" s="4">
        <f t="shared" si="1"/>
        <v>18</v>
      </c>
      <c r="N70" s="9">
        <v>5000</v>
      </c>
      <c r="O70" s="9">
        <f t="shared" si="2"/>
        <v>0</v>
      </c>
    </row>
    <row r="71" spans="8:15" ht="15" x14ac:dyDescent="0.25">
      <c r="H71" s="2" t="s">
        <v>64</v>
      </c>
      <c r="I71" s="7">
        <v>5</v>
      </c>
      <c r="J71" s="4">
        <v>0</v>
      </c>
      <c r="K71" s="4">
        <f t="shared" si="0"/>
        <v>5</v>
      </c>
      <c r="L71" s="10"/>
      <c r="M71" s="4">
        <f t="shared" si="1"/>
        <v>5</v>
      </c>
      <c r="N71" s="9">
        <v>6000</v>
      </c>
      <c r="O71" s="9">
        <f t="shared" si="2"/>
        <v>0</v>
      </c>
    </row>
    <row r="72" spans="8:15" ht="15" x14ac:dyDescent="0.25">
      <c r="H72" s="2" t="s">
        <v>65</v>
      </c>
      <c r="I72" s="7">
        <v>213</v>
      </c>
      <c r="J72" s="4">
        <v>0</v>
      </c>
      <c r="K72" s="4">
        <f t="shared" si="0"/>
        <v>213</v>
      </c>
      <c r="L72" s="10"/>
      <c r="M72" s="4">
        <f t="shared" si="1"/>
        <v>213</v>
      </c>
      <c r="N72" s="9">
        <v>6000</v>
      </c>
      <c r="O72" s="9">
        <f t="shared" si="2"/>
        <v>0</v>
      </c>
    </row>
    <row r="73" spans="8:15" ht="15" x14ac:dyDescent="0.25">
      <c r="H73" s="2" t="s">
        <v>66</v>
      </c>
      <c r="I73" s="7">
        <v>12</v>
      </c>
      <c r="J73" s="4">
        <v>0</v>
      </c>
      <c r="K73" s="4">
        <f t="shared" ref="K73:K137" si="3">I73+J73</f>
        <v>12</v>
      </c>
      <c r="L73" s="10"/>
      <c r="M73" s="4">
        <f t="shared" ref="M73:M137" si="4">K73-L73</f>
        <v>12</v>
      </c>
      <c r="N73" s="9">
        <v>6000</v>
      </c>
      <c r="O73" s="9">
        <f t="shared" ref="O73:O137" si="5">L73*N73</f>
        <v>0</v>
      </c>
    </row>
    <row r="74" spans="8:15" ht="15" x14ac:dyDescent="0.25">
      <c r="H74" s="2" t="s">
        <v>67</v>
      </c>
      <c r="I74" s="7">
        <v>44</v>
      </c>
      <c r="J74" s="4">
        <v>0</v>
      </c>
      <c r="K74" s="4">
        <f t="shared" si="3"/>
        <v>44</v>
      </c>
      <c r="L74" s="10"/>
      <c r="M74" s="4">
        <f t="shared" si="4"/>
        <v>44</v>
      </c>
      <c r="N74" s="9">
        <v>6000</v>
      </c>
      <c r="O74" s="9">
        <f t="shared" si="5"/>
        <v>0</v>
      </c>
    </row>
    <row r="75" spans="8:15" ht="15" x14ac:dyDescent="0.25">
      <c r="H75" s="2" t="s">
        <v>68</v>
      </c>
      <c r="I75" s="7">
        <v>11</v>
      </c>
      <c r="J75" s="4">
        <v>0</v>
      </c>
      <c r="K75" s="4">
        <f t="shared" si="3"/>
        <v>11</v>
      </c>
      <c r="L75" s="10"/>
      <c r="M75" s="4">
        <f t="shared" si="4"/>
        <v>11</v>
      </c>
      <c r="N75" s="9">
        <v>5000</v>
      </c>
      <c r="O75" s="9">
        <f t="shared" si="5"/>
        <v>0</v>
      </c>
    </row>
    <row r="76" spans="8:15" ht="15" x14ac:dyDescent="0.25">
      <c r="H76" s="2" t="s">
        <v>69</v>
      </c>
      <c r="I76" s="7">
        <v>818</v>
      </c>
      <c r="J76" s="4">
        <v>0</v>
      </c>
      <c r="K76" s="4">
        <f t="shared" si="3"/>
        <v>818</v>
      </c>
      <c r="L76" s="10"/>
      <c r="M76" s="4">
        <f>K76-L76</f>
        <v>818</v>
      </c>
      <c r="N76" s="9">
        <v>6000</v>
      </c>
      <c r="O76" s="9">
        <f t="shared" si="5"/>
        <v>0</v>
      </c>
    </row>
    <row r="77" spans="8:15" ht="15" x14ac:dyDescent="0.25">
      <c r="H77" s="2" t="s">
        <v>70</v>
      </c>
      <c r="I77" s="7">
        <v>1274</v>
      </c>
      <c r="J77" s="4">
        <v>0</v>
      </c>
      <c r="K77" s="4">
        <f t="shared" si="3"/>
        <v>1274</v>
      </c>
      <c r="L77" s="10"/>
      <c r="M77" s="4">
        <f t="shared" si="4"/>
        <v>1274</v>
      </c>
      <c r="N77" s="9">
        <v>6000</v>
      </c>
      <c r="O77" s="9">
        <f t="shared" si="5"/>
        <v>0</v>
      </c>
    </row>
    <row r="78" spans="8:15" ht="15" x14ac:dyDescent="0.25">
      <c r="H78" s="2" t="s">
        <v>71</v>
      </c>
      <c r="I78" s="7">
        <v>167</v>
      </c>
      <c r="J78" s="4">
        <v>0</v>
      </c>
      <c r="K78" s="4">
        <f t="shared" si="3"/>
        <v>167</v>
      </c>
      <c r="L78" s="10"/>
      <c r="M78" s="4">
        <f t="shared" si="4"/>
        <v>167</v>
      </c>
      <c r="N78" s="9">
        <v>8000</v>
      </c>
      <c r="O78" s="9">
        <f t="shared" si="5"/>
        <v>0</v>
      </c>
    </row>
    <row r="79" spans="8:15" ht="15" x14ac:dyDescent="0.25">
      <c r="H79" s="2" t="s">
        <v>72</v>
      </c>
      <c r="I79" s="7">
        <v>0</v>
      </c>
      <c r="J79" s="4">
        <v>0</v>
      </c>
      <c r="K79" s="4">
        <f t="shared" si="3"/>
        <v>0</v>
      </c>
      <c r="L79" s="10"/>
      <c r="M79" s="4">
        <f t="shared" si="4"/>
        <v>0</v>
      </c>
      <c r="N79" s="9">
        <v>6000</v>
      </c>
      <c r="O79" s="9">
        <f t="shared" si="5"/>
        <v>0</v>
      </c>
    </row>
    <row r="80" spans="8:15" ht="15" x14ac:dyDescent="0.25">
      <c r="H80" s="2" t="s">
        <v>73</v>
      </c>
      <c r="I80" s="7">
        <v>1</v>
      </c>
      <c r="J80" s="4">
        <v>0</v>
      </c>
      <c r="K80" s="4">
        <f t="shared" si="3"/>
        <v>1</v>
      </c>
      <c r="L80" s="10"/>
      <c r="M80" s="4">
        <f t="shared" si="4"/>
        <v>1</v>
      </c>
      <c r="N80" s="9">
        <v>10000</v>
      </c>
      <c r="O80" s="9">
        <f t="shared" si="5"/>
        <v>0</v>
      </c>
    </row>
    <row r="81" spans="8:15" ht="15" x14ac:dyDescent="0.25">
      <c r="H81" s="2" t="s">
        <v>74</v>
      </c>
      <c r="I81" s="7">
        <v>12</v>
      </c>
      <c r="J81" s="4">
        <v>0</v>
      </c>
      <c r="K81" s="4">
        <f t="shared" si="3"/>
        <v>12</v>
      </c>
      <c r="L81" s="10"/>
      <c r="M81" s="4">
        <f t="shared" si="4"/>
        <v>12</v>
      </c>
      <c r="N81" s="9">
        <v>5000</v>
      </c>
      <c r="O81" s="9">
        <f>L81*N81</f>
        <v>0</v>
      </c>
    </row>
    <row r="82" spans="8:15" ht="15" x14ac:dyDescent="0.25">
      <c r="H82" s="2" t="s">
        <v>75</v>
      </c>
      <c r="I82" s="7">
        <v>315</v>
      </c>
      <c r="J82" s="4">
        <v>0</v>
      </c>
      <c r="K82" s="4">
        <f t="shared" si="3"/>
        <v>315</v>
      </c>
      <c r="L82" s="10"/>
      <c r="M82" s="4">
        <f t="shared" si="4"/>
        <v>315</v>
      </c>
      <c r="N82" s="9">
        <v>6000</v>
      </c>
      <c r="O82" s="9">
        <f t="shared" si="5"/>
        <v>0</v>
      </c>
    </row>
    <row r="83" spans="8:15" ht="15" x14ac:dyDescent="0.25">
      <c r="H83" s="2" t="s">
        <v>76</v>
      </c>
      <c r="I83" s="7">
        <v>9</v>
      </c>
      <c r="J83" s="4">
        <v>0</v>
      </c>
      <c r="K83" s="4">
        <f t="shared" si="3"/>
        <v>9</v>
      </c>
      <c r="L83" s="10"/>
      <c r="M83" s="4">
        <f t="shared" si="4"/>
        <v>9</v>
      </c>
      <c r="N83" s="9">
        <v>8000</v>
      </c>
      <c r="O83" s="9">
        <f t="shared" si="5"/>
        <v>0</v>
      </c>
    </row>
    <row r="84" spans="8:15" ht="15" x14ac:dyDescent="0.25">
      <c r="H84" s="2" t="s">
        <v>77</v>
      </c>
      <c r="I84" s="7">
        <v>3</v>
      </c>
      <c r="J84" s="4">
        <v>0</v>
      </c>
      <c r="K84" s="4">
        <f t="shared" si="3"/>
        <v>3</v>
      </c>
      <c r="L84" s="10"/>
      <c r="M84" s="4">
        <f t="shared" si="4"/>
        <v>3</v>
      </c>
      <c r="N84" s="9">
        <v>6000</v>
      </c>
      <c r="O84" s="9">
        <f t="shared" si="5"/>
        <v>0</v>
      </c>
    </row>
    <row r="85" spans="8:15" ht="15" x14ac:dyDescent="0.25">
      <c r="H85" s="2" t="s">
        <v>78</v>
      </c>
      <c r="I85" s="7">
        <v>122</v>
      </c>
      <c r="J85" s="4">
        <v>0</v>
      </c>
      <c r="K85" s="4">
        <f t="shared" si="3"/>
        <v>122</v>
      </c>
      <c r="L85" s="10"/>
      <c r="M85" s="4">
        <f t="shared" si="4"/>
        <v>122</v>
      </c>
      <c r="N85" s="9">
        <v>6000</v>
      </c>
      <c r="O85" s="9">
        <f t="shared" si="5"/>
        <v>0</v>
      </c>
    </row>
    <row r="86" spans="8:15" ht="15" x14ac:dyDescent="0.25">
      <c r="H86" s="2" t="s">
        <v>79</v>
      </c>
      <c r="I86" s="7">
        <v>0</v>
      </c>
      <c r="J86" s="4">
        <v>0</v>
      </c>
      <c r="K86" s="4">
        <f t="shared" si="3"/>
        <v>0</v>
      </c>
      <c r="L86" s="10"/>
      <c r="M86" s="4">
        <f t="shared" si="4"/>
        <v>0</v>
      </c>
      <c r="N86" s="9">
        <v>2000</v>
      </c>
      <c r="O86" s="9">
        <f t="shared" si="5"/>
        <v>0</v>
      </c>
    </row>
    <row r="87" spans="8:15" ht="15" x14ac:dyDescent="0.25">
      <c r="H87" s="2" t="s">
        <v>80</v>
      </c>
      <c r="I87" s="7">
        <v>0</v>
      </c>
      <c r="J87" s="4">
        <v>0</v>
      </c>
      <c r="K87" s="4">
        <f t="shared" si="3"/>
        <v>0</v>
      </c>
      <c r="L87" s="10"/>
      <c r="M87" s="4">
        <f t="shared" si="4"/>
        <v>0</v>
      </c>
      <c r="N87" s="9">
        <v>2000</v>
      </c>
      <c r="O87" s="9">
        <f t="shared" si="5"/>
        <v>0</v>
      </c>
    </row>
    <row r="88" spans="8:15" ht="15" x14ac:dyDescent="0.25">
      <c r="H88" s="2" t="s">
        <v>81</v>
      </c>
      <c r="I88" s="7"/>
      <c r="J88" s="4">
        <v>0</v>
      </c>
      <c r="K88" s="4">
        <f t="shared" si="3"/>
        <v>0</v>
      </c>
      <c r="L88" s="10"/>
      <c r="M88" s="4"/>
      <c r="N88" s="9">
        <v>2000</v>
      </c>
      <c r="O88" s="9"/>
    </row>
    <row r="89" spans="8:15" ht="15" x14ac:dyDescent="0.25">
      <c r="H89" s="2" t="s">
        <v>82</v>
      </c>
      <c r="I89" s="7">
        <v>123</v>
      </c>
      <c r="J89" s="4">
        <v>0</v>
      </c>
      <c r="K89" s="4">
        <f t="shared" si="3"/>
        <v>123</v>
      </c>
      <c r="L89" s="10"/>
      <c r="M89" s="4">
        <f t="shared" si="4"/>
        <v>123</v>
      </c>
      <c r="N89" s="9">
        <v>6000</v>
      </c>
      <c r="O89" s="9">
        <f t="shared" si="5"/>
        <v>0</v>
      </c>
    </row>
    <row r="90" spans="8:15" ht="15" x14ac:dyDescent="0.25">
      <c r="H90" s="2" t="s">
        <v>83</v>
      </c>
      <c r="I90" s="7">
        <v>0</v>
      </c>
      <c r="J90" s="4">
        <v>0</v>
      </c>
      <c r="K90" s="4">
        <f t="shared" si="3"/>
        <v>0</v>
      </c>
      <c r="L90" s="10"/>
      <c r="M90" s="4">
        <f t="shared" si="4"/>
        <v>0</v>
      </c>
      <c r="N90" s="9">
        <v>6000</v>
      </c>
      <c r="O90" s="9">
        <f t="shared" si="5"/>
        <v>0</v>
      </c>
    </row>
    <row r="91" spans="8:15" ht="15" x14ac:dyDescent="0.25">
      <c r="H91" s="2" t="s">
        <v>84</v>
      </c>
      <c r="I91" s="7">
        <v>147</v>
      </c>
      <c r="J91" s="4">
        <v>0</v>
      </c>
      <c r="K91" s="4">
        <f t="shared" si="3"/>
        <v>147</v>
      </c>
      <c r="L91" s="10"/>
      <c r="M91" s="4">
        <f t="shared" si="4"/>
        <v>147</v>
      </c>
      <c r="N91" s="9">
        <v>6000</v>
      </c>
      <c r="O91" s="9">
        <f t="shared" si="5"/>
        <v>0</v>
      </c>
    </row>
    <row r="92" spans="8:15" ht="15" x14ac:dyDescent="0.25">
      <c r="H92" s="2" t="s">
        <v>85</v>
      </c>
      <c r="I92" s="7">
        <v>15</v>
      </c>
      <c r="J92" s="4">
        <v>0</v>
      </c>
      <c r="K92" s="4">
        <f t="shared" si="3"/>
        <v>15</v>
      </c>
      <c r="L92" s="10"/>
      <c r="M92" s="4">
        <f t="shared" si="4"/>
        <v>15</v>
      </c>
      <c r="N92" s="9">
        <v>9000</v>
      </c>
      <c r="O92" s="9">
        <f t="shared" si="5"/>
        <v>0</v>
      </c>
    </row>
    <row r="93" spans="8:15" ht="15" x14ac:dyDescent="0.25">
      <c r="H93" s="2" t="s">
        <v>86</v>
      </c>
      <c r="I93" s="7">
        <v>60</v>
      </c>
      <c r="J93" s="4">
        <v>0</v>
      </c>
      <c r="K93" s="4">
        <f t="shared" si="3"/>
        <v>60</v>
      </c>
      <c r="L93" s="10"/>
      <c r="M93" s="4">
        <f t="shared" si="4"/>
        <v>60</v>
      </c>
      <c r="N93" s="9">
        <v>5000</v>
      </c>
      <c r="O93" s="9">
        <f t="shared" si="5"/>
        <v>0</v>
      </c>
    </row>
    <row r="94" spans="8:15" ht="15" x14ac:dyDescent="0.25">
      <c r="H94" s="2" t="s">
        <v>87</v>
      </c>
      <c r="I94" s="7">
        <v>3</v>
      </c>
      <c r="J94" s="4">
        <v>0</v>
      </c>
      <c r="K94" s="4">
        <f t="shared" si="3"/>
        <v>3</v>
      </c>
      <c r="L94" s="10"/>
      <c r="M94" s="4">
        <f t="shared" si="4"/>
        <v>3</v>
      </c>
      <c r="N94" s="9">
        <v>6000</v>
      </c>
      <c r="O94" s="9">
        <f t="shared" si="5"/>
        <v>0</v>
      </c>
    </row>
    <row r="95" spans="8:15" ht="15" x14ac:dyDescent="0.25">
      <c r="H95" s="2" t="s">
        <v>88</v>
      </c>
      <c r="I95" s="7">
        <v>17</v>
      </c>
      <c r="J95" s="4">
        <v>0</v>
      </c>
      <c r="K95" s="4">
        <f t="shared" si="3"/>
        <v>17</v>
      </c>
      <c r="L95" s="10"/>
      <c r="M95" s="4">
        <f t="shared" si="4"/>
        <v>17</v>
      </c>
      <c r="N95" s="9">
        <v>8000</v>
      </c>
      <c r="O95" s="9">
        <f t="shared" si="5"/>
        <v>0</v>
      </c>
    </row>
    <row r="96" spans="8:15" ht="15" x14ac:dyDescent="0.25">
      <c r="H96" s="2" t="s">
        <v>89</v>
      </c>
      <c r="I96" s="7">
        <v>49</v>
      </c>
      <c r="J96" s="4">
        <v>0</v>
      </c>
      <c r="K96" s="4">
        <f t="shared" si="3"/>
        <v>49</v>
      </c>
      <c r="L96" s="10"/>
      <c r="M96" s="4">
        <f t="shared" si="4"/>
        <v>49</v>
      </c>
      <c r="N96" s="9">
        <v>6000</v>
      </c>
      <c r="O96" s="9">
        <f t="shared" si="5"/>
        <v>0</v>
      </c>
    </row>
    <row r="97" spans="8:15" ht="15" x14ac:dyDescent="0.25">
      <c r="H97" s="2" t="s">
        <v>90</v>
      </c>
      <c r="I97" s="7">
        <v>14</v>
      </c>
      <c r="J97" s="4">
        <v>0</v>
      </c>
      <c r="K97" s="4">
        <f t="shared" si="3"/>
        <v>14</v>
      </c>
      <c r="L97" s="10"/>
      <c r="M97" s="4">
        <f t="shared" si="4"/>
        <v>14</v>
      </c>
      <c r="N97" s="9">
        <v>15000</v>
      </c>
      <c r="O97" s="9">
        <f t="shared" si="5"/>
        <v>0</v>
      </c>
    </row>
    <row r="98" spans="8:15" ht="15" x14ac:dyDescent="0.25">
      <c r="H98" s="2" t="s">
        <v>91</v>
      </c>
      <c r="I98" s="7">
        <v>20</v>
      </c>
      <c r="J98" s="4">
        <v>0</v>
      </c>
      <c r="K98" s="4">
        <f t="shared" si="3"/>
        <v>20</v>
      </c>
      <c r="L98" s="10"/>
      <c r="M98" s="4">
        <f t="shared" si="4"/>
        <v>20</v>
      </c>
      <c r="N98" s="9">
        <v>15000</v>
      </c>
      <c r="O98" s="9">
        <f t="shared" si="5"/>
        <v>0</v>
      </c>
    </row>
    <row r="99" spans="8:15" ht="15" x14ac:dyDescent="0.25">
      <c r="H99" s="2" t="s">
        <v>92</v>
      </c>
      <c r="I99" s="7">
        <v>134</v>
      </c>
      <c r="J99" s="4">
        <v>0</v>
      </c>
      <c r="K99" s="4">
        <f t="shared" si="3"/>
        <v>134</v>
      </c>
      <c r="L99" s="10"/>
      <c r="M99" s="4">
        <f t="shared" si="4"/>
        <v>134</v>
      </c>
      <c r="N99" s="9">
        <v>12000</v>
      </c>
      <c r="O99" s="9">
        <f t="shared" si="5"/>
        <v>0</v>
      </c>
    </row>
    <row r="100" spans="8:15" ht="15" x14ac:dyDescent="0.25">
      <c r="H100" s="2" t="s">
        <v>93</v>
      </c>
      <c r="I100" s="7">
        <v>0</v>
      </c>
      <c r="J100" s="4">
        <v>0</v>
      </c>
      <c r="K100" s="4">
        <f t="shared" si="3"/>
        <v>0</v>
      </c>
      <c r="L100" s="10"/>
      <c r="M100" s="4">
        <f t="shared" si="4"/>
        <v>0</v>
      </c>
      <c r="N100" s="9">
        <v>6000</v>
      </c>
      <c r="O100" s="9">
        <f t="shared" si="5"/>
        <v>0</v>
      </c>
    </row>
    <row r="101" spans="8:15" ht="15" x14ac:dyDescent="0.25">
      <c r="H101" s="2" t="s">
        <v>94</v>
      </c>
      <c r="I101" s="7">
        <v>12</v>
      </c>
      <c r="J101" s="4">
        <v>0</v>
      </c>
      <c r="K101" s="4">
        <f t="shared" si="3"/>
        <v>12</v>
      </c>
      <c r="L101" s="10"/>
      <c r="M101" s="4">
        <f t="shared" si="4"/>
        <v>12</v>
      </c>
      <c r="N101" s="9">
        <v>6000</v>
      </c>
      <c r="O101" s="9">
        <f t="shared" si="5"/>
        <v>0</v>
      </c>
    </row>
    <row r="102" spans="8:15" ht="15" x14ac:dyDescent="0.25">
      <c r="H102" s="2" t="s">
        <v>95</v>
      </c>
      <c r="I102" s="7">
        <v>45</v>
      </c>
      <c r="J102" s="4">
        <v>0</v>
      </c>
      <c r="K102" s="4">
        <f t="shared" si="3"/>
        <v>45</v>
      </c>
      <c r="L102" s="10"/>
      <c r="M102" s="4">
        <f>K102-L102</f>
        <v>45</v>
      </c>
      <c r="N102" s="9">
        <v>10000</v>
      </c>
      <c r="O102" s="9">
        <f t="shared" si="5"/>
        <v>0</v>
      </c>
    </row>
    <row r="103" spans="8:15" ht="15" x14ac:dyDescent="0.25">
      <c r="H103" s="2" t="s">
        <v>96</v>
      </c>
      <c r="I103" s="7">
        <v>15</v>
      </c>
      <c r="J103" s="4">
        <v>0</v>
      </c>
      <c r="K103" s="4">
        <f t="shared" si="3"/>
        <v>15</v>
      </c>
      <c r="L103" s="10"/>
      <c r="M103" s="4">
        <f t="shared" si="4"/>
        <v>15</v>
      </c>
      <c r="N103" s="9">
        <v>8000</v>
      </c>
      <c r="O103" s="9">
        <f t="shared" si="5"/>
        <v>0</v>
      </c>
    </row>
    <row r="104" spans="8:15" ht="15" x14ac:dyDescent="0.25">
      <c r="H104" s="2" t="s">
        <v>97</v>
      </c>
      <c r="I104" s="7">
        <v>633</v>
      </c>
      <c r="J104" s="4">
        <v>0</v>
      </c>
      <c r="K104" s="4">
        <f t="shared" si="3"/>
        <v>633</v>
      </c>
      <c r="L104" s="10"/>
      <c r="M104" s="4">
        <f t="shared" si="4"/>
        <v>633</v>
      </c>
      <c r="N104" s="9">
        <v>12000</v>
      </c>
      <c r="O104" s="9">
        <f t="shared" si="5"/>
        <v>0</v>
      </c>
    </row>
    <row r="105" spans="8:15" ht="15" x14ac:dyDescent="0.25">
      <c r="H105" s="2" t="s">
        <v>98</v>
      </c>
      <c r="I105" s="7">
        <v>26</v>
      </c>
      <c r="J105" s="4">
        <v>0</v>
      </c>
      <c r="K105" s="4">
        <f t="shared" si="3"/>
        <v>26</v>
      </c>
      <c r="L105" s="10"/>
      <c r="M105" s="4">
        <f t="shared" si="4"/>
        <v>26</v>
      </c>
      <c r="N105" s="9">
        <v>9000</v>
      </c>
      <c r="O105" s="9">
        <f t="shared" si="5"/>
        <v>0</v>
      </c>
    </row>
    <row r="106" spans="8:15" ht="15" x14ac:dyDescent="0.25">
      <c r="H106" s="2" t="s">
        <v>99</v>
      </c>
      <c r="I106" s="7">
        <v>56</v>
      </c>
      <c r="J106" s="4">
        <v>0</v>
      </c>
      <c r="K106" s="4">
        <f t="shared" si="3"/>
        <v>56</v>
      </c>
      <c r="L106" s="10"/>
      <c r="M106" s="4">
        <f t="shared" si="4"/>
        <v>56</v>
      </c>
      <c r="N106" s="9">
        <v>8000</v>
      </c>
      <c r="O106" s="9">
        <f t="shared" si="5"/>
        <v>0</v>
      </c>
    </row>
    <row r="107" spans="8:15" ht="15" x14ac:dyDescent="0.25">
      <c r="H107" s="2" t="s">
        <v>100</v>
      </c>
      <c r="I107" s="7">
        <v>754</v>
      </c>
      <c r="J107" s="4">
        <v>0</v>
      </c>
      <c r="K107" s="4">
        <f t="shared" si="3"/>
        <v>754</v>
      </c>
      <c r="L107" s="10"/>
      <c r="M107" s="4">
        <f t="shared" si="4"/>
        <v>754</v>
      </c>
      <c r="N107" s="9">
        <v>6000</v>
      </c>
      <c r="O107" s="9">
        <f t="shared" si="5"/>
        <v>0</v>
      </c>
    </row>
    <row r="108" spans="8:15" ht="15" x14ac:dyDescent="0.25">
      <c r="H108" s="2" t="s">
        <v>101</v>
      </c>
      <c r="I108" s="7">
        <v>156</v>
      </c>
      <c r="J108" s="4">
        <v>0</v>
      </c>
      <c r="K108" s="4">
        <f t="shared" si="3"/>
        <v>156</v>
      </c>
      <c r="L108" s="10"/>
      <c r="M108" s="4">
        <f t="shared" si="4"/>
        <v>156</v>
      </c>
      <c r="N108" s="9">
        <v>6000</v>
      </c>
      <c r="O108" s="9">
        <f t="shared" si="5"/>
        <v>0</v>
      </c>
    </row>
    <row r="109" spans="8:15" ht="15" x14ac:dyDescent="0.25">
      <c r="H109" s="2" t="s">
        <v>102</v>
      </c>
      <c r="I109" s="7">
        <v>144</v>
      </c>
      <c r="J109" s="4">
        <v>0</v>
      </c>
      <c r="K109" s="4">
        <f t="shared" si="3"/>
        <v>144</v>
      </c>
      <c r="L109" s="10"/>
      <c r="M109" s="4">
        <f t="shared" si="4"/>
        <v>144</v>
      </c>
      <c r="N109" s="9">
        <v>6000</v>
      </c>
      <c r="O109" s="9">
        <f t="shared" si="5"/>
        <v>0</v>
      </c>
    </row>
    <row r="110" spans="8:15" ht="15" x14ac:dyDescent="0.25">
      <c r="H110" s="2" t="s">
        <v>103</v>
      </c>
      <c r="I110" s="7">
        <v>63</v>
      </c>
      <c r="J110" s="4">
        <v>0</v>
      </c>
      <c r="K110" s="4">
        <f t="shared" si="3"/>
        <v>63</v>
      </c>
      <c r="L110" s="10"/>
      <c r="M110" s="4">
        <f t="shared" si="4"/>
        <v>63</v>
      </c>
      <c r="N110" s="9">
        <v>9000</v>
      </c>
      <c r="O110" s="9">
        <f t="shared" si="5"/>
        <v>0</v>
      </c>
    </row>
    <row r="111" spans="8:15" ht="15" x14ac:dyDescent="0.25">
      <c r="H111" s="2" t="s">
        <v>104</v>
      </c>
      <c r="I111" s="7">
        <v>490</v>
      </c>
      <c r="J111" s="4">
        <v>0</v>
      </c>
      <c r="K111" s="4">
        <f t="shared" si="3"/>
        <v>490</v>
      </c>
      <c r="L111" s="10"/>
      <c r="M111" s="4">
        <f t="shared" si="4"/>
        <v>490</v>
      </c>
      <c r="N111" s="9">
        <v>12000</v>
      </c>
      <c r="O111" s="9">
        <f t="shared" si="5"/>
        <v>0</v>
      </c>
    </row>
    <row r="112" spans="8:15" ht="15" x14ac:dyDescent="0.25">
      <c r="H112" s="2" t="s">
        <v>105</v>
      </c>
      <c r="I112" s="7">
        <v>109</v>
      </c>
      <c r="J112" s="4">
        <v>0</v>
      </c>
      <c r="K112" s="4">
        <f t="shared" si="3"/>
        <v>109</v>
      </c>
      <c r="L112" s="10"/>
      <c r="M112" s="4">
        <f t="shared" si="4"/>
        <v>109</v>
      </c>
      <c r="N112" s="9">
        <v>10000</v>
      </c>
      <c r="O112" s="9">
        <f t="shared" si="5"/>
        <v>0</v>
      </c>
    </row>
    <row r="113" spans="8:15" ht="15" x14ac:dyDescent="0.25">
      <c r="H113" s="2" t="s">
        <v>106</v>
      </c>
      <c r="I113" s="7">
        <v>10</v>
      </c>
      <c r="J113" s="4">
        <v>0</v>
      </c>
      <c r="K113" s="4">
        <f t="shared" si="3"/>
        <v>10</v>
      </c>
      <c r="L113" s="10"/>
      <c r="M113" s="4">
        <f t="shared" si="4"/>
        <v>10</v>
      </c>
      <c r="N113" s="9">
        <v>6000</v>
      </c>
      <c r="O113" s="9">
        <f t="shared" si="5"/>
        <v>0</v>
      </c>
    </row>
    <row r="114" spans="8:15" ht="15" x14ac:dyDescent="0.25">
      <c r="H114" s="2" t="s">
        <v>107</v>
      </c>
      <c r="I114" s="7">
        <v>111</v>
      </c>
      <c r="J114" s="4">
        <v>0</v>
      </c>
      <c r="K114" s="4">
        <f t="shared" si="3"/>
        <v>111</v>
      </c>
      <c r="L114" s="10"/>
      <c r="M114" s="4">
        <f t="shared" si="4"/>
        <v>111</v>
      </c>
      <c r="N114" s="9">
        <v>5000</v>
      </c>
      <c r="O114" s="9">
        <f t="shared" si="5"/>
        <v>0</v>
      </c>
    </row>
    <row r="115" spans="8:15" ht="15" x14ac:dyDescent="0.25">
      <c r="H115" s="2" t="s">
        <v>108</v>
      </c>
      <c r="I115" s="7">
        <v>552</v>
      </c>
      <c r="J115" s="4">
        <v>0</v>
      </c>
      <c r="K115" s="4">
        <f t="shared" si="3"/>
        <v>552</v>
      </c>
      <c r="L115" s="10"/>
      <c r="M115" s="4">
        <f t="shared" si="4"/>
        <v>552</v>
      </c>
      <c r="N115" s="9">
        <v>7000</v>
      </c>
      <c r="O115" s="9">
        <f t="shared" si="5"/>
        <v>0</v>
      </c>
    </row>
    <row r="116" spans="8:15" ht="15" x14ac:dyDescent="0.25">
      <c r="H116" s="2" t="s">
        <v>109</v>
      </c>
      <c r="I116" s="7">
        <v>0</v>
      </c>
      <c r="J116" s="4">
        <v>0</v>
      </c>
      <c r="K116" s="4">
        <f t="shared" si="3"/>
        <v>0</v>
      </c>
      <c r="L116" s="10"/>
      <c r="M116" s="4">
        <f t="shared" si="4"/>
        <v>0</v>
      </c>
      <c r="N116" s="9">
        <v>6000</v>
      </c>
      <c r="O116" s="9">
        <f t="shared" si="5"/>
        <v>0</v>
      </c>
    </row>
    <row r="117" spans="8:15" ht="15" x14ac:dyDescent="0.25">
      <c r="H117" s="2" t="s">
        <v>110</v>
      </c>
      <c r="I117" s="7">
        <v>155</v>
      </c>
      <c r="J117" s="4"/>
      <c r="K117" s="4">
        <f>I117+J117</f>
        <v>155</v>
      </c>
      <c r="L117" s="10"/>
      <c r="M117" s="4">
        <f t="shared" si="4"/>
        <v>155</v>
      </c>
      <c r="N117" s="9">
        <v>12000</v>
      </c>
      <c r="O117" s="9">
        <f t="shared" si="5"/>
        <v>0</v>
      </c>
    </row>
    <row r="118" spans="8:15" ht="15" x14ac:dyDescent="0.25">
      <c r="H118" s="2" t="s">
        <v>111</v>
      </c>
      <c r="I118" s="7">
        <v>15</v>
      </c>
      <c r="J118" s="4">
        <v>0</v>
      </c>
      <c r="K118" s="4">
        <f t="shared" si="3"/>
        <v>15</v>
      </c>
      <c r="L118" s="10"/>
      <c r="M118" s="4">
        <f t="shared" si="4"/>
        <v>15</v>
      </c>
      <c r="N118" s="9">
        <v>15000</v>
      </c>
      <c r="O118" s="9">
        <f t="shared" si="5"/>
        <v>0</v>
      </c>
    </row>
    <row r="119" spans="8:15" ht="15" x14ac:dyDescent="0.25">
      <c r="H119" s="2" t="s">
        <v>112</v>
      </c>
      <c r="I119" s="7">
        <v>82</v>
      </c>
      <c r="J119" s="4">
        <v>0</v>
      </c>
      <c r="K119" s="4">
        <f t="shared" si="3"/>
        <v>82</v>
      </c>
      <c r="L119" s="10"/>
      <c r="M119" s="4">
        <f t="shared" si="4"/>
        <v>82</v>
      </c>
      <c r="N119" s="9">
        <v>10000</v>
      </c>
      <c r="O119" s="9">
        <f t="shared" si="5"/>
        <v>0</v>
      </c>
    </row>
    <row r="120" spans="8:15" ht="15" x14ac:dyDescent="0.25">
      <c r="H120" s="2" t="s">
        <v>113</v>
      </c>
      <c r="I120" s="7">
        <v>378</v>
      </c>
      <c r="J120" s="4">
        <v>0</v>
      </c>
      <c r="K120" s="4">
        <f t="shared" si="3"/>
        <v>378</v>
      </c>
      <c r="L120" s="10"/>
      <c r="M120" s="4">
        <f t="shared" si="4"/>
        <v>378</v>
      </c>
      <c r="N120" s="9">
        <v>7000</v>
      </c>
      <c r="O120" s="9">
        <f t="shared" si="5"/>
        <v>0</v>
      </c>
    </row>
    <row r="121" spans="8:15" ht="15" x14ac:dyDescent="0.25">
      <c r="H121" s="2" t="s">
        <v>114</v>
      </c>
      <c r="I121" s="7">
        <v>4</v>
      </c>
      <c r="J121" s="4">
        <v>0</v>
      </c>
      <c r="K121" s="4">
        <f t="shared" si="3"/>
        <v>4</v>
      </c>
      <c r="L121" s="10"/>
      <c r="M121" s="4">
        <f t="shared" si="4"/>
        <v>4</v>
      </c>
      <c r="N121" s="9">
        <v>6000</v>
      </c>
      <c r="O121" s="9">
        <f t="shared" si="5"/>
        <v>0</v>
      </c>
    </row>
    <row r="122" spans="8:15" ht="15" x14ac:dyDescent="0.25">
      <c r="H122" s="2" t="s">
        <v>115</v>
      </c>
      <c r="I122" s="7">
        <v>50</v>
      </c>
      <c r="J122" s="4">
        <v>0</v>
      </c>
      <c r="K122" s="4">
        <f t="shared" si="3"/>
        <v>50</v>
      </c>
      <c r="L122" s="10"/>
      <c r="M122" s="4">
        <f t="shared" si="4"/>
        <v>50</v>
      </c>
      <c r="N122" s="9">
        <v>7000</v>
      </c>
      <c r="O122" s="9">
        <f t="shared" si="5"/>
        <v>0</v>
      </c>
    </row>
    <row r="123" spans="8:15" ht="15" x14ac:dyDescent="0.25">
      <c r="H123" s="2" t="s">
        <v>116</v>
      </c>
      <c r="I123" s="7"/>
      <c r="J123" s="4">
        <v>0</v>
      </c>
      <c r="K123" s="4">
        <f t="shared" si="3"/>
        <v>0</v>
      </c>
      <c r="L123" s="10"/>
      <c r="M123" s="4"/>
      <c r="N123" s="9">
        <v>6000</v>
      </c>
      <c r="O123" s="9">
        <f t="shared" si="5"/>
        <v>0</v>
      </c>
    </row>
    <row r="124" spans="8:15" ht="15" x14ac:dyDescent="0.25">
      <c r="H124" s="2" t="s">
        <v>117</v>
      </c>
      <c r="I124" s="7">
        <v>2</v>
      </c>
      <c r="J124" s="4">
        <v>0</v>
      </c>
      <c r="K124" s="4">
        <f t="shared" si="3"/>
        <v>2</v>
      </c>
      <c r="L124" s="10"/>
      <c r="M124" s="4">
        <f t="shared" si="4"/>
        <v>2</v>
      </c>
      <c r="N124" s="9">
        <v>9000</v>
      </c>
      <c r="O124" s="9">
        <f t="shared" si="5"/>
        <v>0</v>
      </c>
    </row>
    <row r="125" spans="8:15" ht="15" x14ac:dyDescent="0.25">
      <c r="H125" s="2" t="s">
        <v>118</v>
      </c>
      <c r="I125" s="7">
        <v>0</v>
      </c>
      <c r="J125" s="4">
        <v>0</v>
      </c>
      <c r="K125" s="4">
        <f t="shared" si="3"/>
        <v>0</v>
      </c>
      <c r="L125" s="10"/>
      <c r="M125" s="4">
        <f t="shared" si="4"/>
        <v>0</v>
      </c>
      <c r="N125" s="9">
        <v>6000</v>
      </c>
      <c r="O125" s="9"/>
    </row>
    <row r="126" spans="8:15" ht="15" x14ac:dyDescent="0.25">
      <c r="H126" s="2" t="s">
        <v>119</v>
      </c>
      <c r="I126" s="7">
        <v>257</v>
      </c>
      <c r="J126" s="4">
        <v>0</v>
      </c>
      <c r="K126" s="4">
        <f t="shared" si="3"/>
        <v>257</v>
      </c>
      <c r="L126" s="10"/>
      <c r="M126" s="4">
        <f t="shared" si="4"/>
        <v>257</v>
      </c>
      <c r="N126" s="9">
        <v>7000</v>
      </c>
      <c r="O126" s="9">
        <f t="shared" si="5"/>
        <v>0</v>
      </c>
    </row>
    <row r="127" spans="8:15" ht="15" x14ac:dyDescent="0.25">
      <c r="H127" s="2" t="s">
        <v>120</v>
      </c>
      <c r="I127" s="7">
        <v>152</v>
      </c>
      <c r="J127" s="4">
        <v>0</v>
      </c>
      <c r="K127" s="4">
        <f t="shared" si="3"/>
        <v>152</v>
      </c>
      <c r="L127" s="10"/>
      <c r="M127" s="4">
        <f t="shared" si="4"/>
        <v>152</v>
      </c>
      <c r="N127" s="9">
        <v>14000</v>
      </c>
      <c r="O127" s="9">
        <f t="shared" si="5"/>
        <v>0</v>
      </c>
    </row>
    <row r="128" spans="8:15" ht="15" x14ac:dyDescent="0.25">
      <c r="H128" s="2" t="s">
        <v>121</v>
      </c>
      <c r="I128" s="7">
        <v>45</v>
      </c>
      <c r="J128" s="4">
        <v>0</v>
      </c>
      <c r="K128" s="4">
        <f t="shared" si="3"/>
        <v>45</v>
      </c>
      <c r="L128" s="10"/>
      <c r="M128" s="4">
        <f t="shared" si="4"/>
        <v>45</v>
      </c>
      <c r="N128" s="9">
        <v>14000</v>
      </c>
      <c r="O128" s="9">
        <f t="shared" si="5"/>
        <v>0</v>
      </c>
    </row>
    <row r="129" spans="8:15" ht="15" x14ac:dyDescent="0.25">
      <c r="H129" s="2" t="s">
        <v>122</v>
      </c>
      <c r="I129" s="7">
        <v>55</v>
      </c>
      <c r="J129" s="4">
        <v>0</v>
      </c>
      <c r="K129" s="4">
        <f t="shared" si="3"/>
        <v>55</v>
      </c>
      <c r="L129" s="10"/>
      <c r="M129" s="4">
        <f t="shared" si="4"/>
        <v>55</v>
      </c>
      <c r="N129" s="9">
        <v>12000</v>
      </c>
      <c r="O129" s="9">
        <f t="shared" si="5"/>
        <v>0</v>
      </c>
    </row>
    <row r="130" spans="8:15" ht="15" x14ac:dyDescent="0.25">
      <c r="H130" s="2" t="s">
        <v>123</v>
      </c>
      <c r="I130" s="7">
        <v>33</v>
      </c>
      <c r="J130" s="4">
        <v>0</v>
      </c>
      <c r="K130" s="4">
        <f t="shared" si="3"/>
        <v>33</v>
      </c>
      <c r="L130" s="10"/>
      <c r="M130" s="4">
        <f t="shared" si="4"/>
        <v>33</v>
      </c>
      <c r="N130" s="9">
        <v>9000</v>
      </c>
      <c r="O130" s="9">
        <f t="shared" si="5"/>
        <v>0</v>
      </c>
    </row>
    <row r="131" spans="8:15" ht="15" x14ac:dyDescent="0.25">
      <c r="H131" s="2" t="s">
        <v>124</v>
      </c>
      <c r="I131" s="7">
        <v>18</v>
      </c>
      <c r="J131" s="4">
        <v>0</v>
      </c>
      <c r="K131" s="4">
        <f t="shared" si="3"/>
        <v>18</v>
      </c>
      <c r="L131" s="10"/>
      <c r="M131" s="4">
        <f t="shared" si="4"/>
        <v>18</v>
      </c>
      <c r="N131" s="9">
        <v>10000</v>
      </c>
      <c r="O131" s="9">
        <f t="shared" si="5"/>
        <v>0</v>
      </c>
    </row>
    <row r="132" spans="8:15" ht="15" x14ac:dyDescent="0.25">
      <c r="H132" s="2" t="s">
        <v>125</v>
      </c>
      <c r="I132" s="7">
        <v>135</v>
      </c>
      <c r="J132" s="4">
        <v>0</v>
      </c>
      <c r="K132" s="4">
        <f t="shared" si="3"/>
        <v>135</v>
      </c>
      <c r="L132" s="10"/>
      <c r="M132" s="4">
        <f t="shared" si="4"/>
        <v>135</v>
      </c>
      <c r="N132" s="9">
        <v>8000</v>
      </c>
      <c r="O132" s="9">
        <f t="shared" si="5"/>
        <v>0</v>
      </c>
    </row>
    <row r="133" spans="8:15" ht="15" x14ac:dyDescent="0.25">
      <c r="H133" s="2" t="s">
        <v>126</v>
      </c>
      <c r="I133" s="7">
        <v>0</v>
      </c>
      <c r="J133" s="4"/>
      <c r="K133" s="4">
        <f t="shared" si="3"/>
        <v>0</v>
      </c>
      <c r="L133" s="10"/>
      <c r="M133" s="4">
        <f t="shared" si="4"/>
        <v>0</v>
      </c>
      <c r="N133" s="9">
        <v>6000</v>
      </c>
      <c r="O133" s="9">
        <f>N133*L133</f>
        <v>0</v>
      </c>
    </row>
    <row r="134" spans="8:15" ht="15" x14ac:dyDescent="0.25">
      <c r="H134" s="2" t="s">
        <v>127</v>
      </c>
      <c r="I134" s="7">
        <v>6</v>
      </c>
      <c r="J134" s="4">
        <v>0</v>
      </c>
      <c r="K134" s="4">
        <f t="shared" si="3"/>
        <v>6</v>
      </c>
      <c r="L134" s="10"/>
      <c r="M134" s="4">
        <f t="shared" si="4"/>
        <v>6</v>
      </c>
      <c r="N134" s="9">
        <v>9000</v>
      </c>
      <c r="O134" s="9">
        <f t="shared" si="5"/>
        <v>0</v>
      </c>
    </row>
    <row r="135" spans="8:15" ht="15" x14ac:dyDescent="0.25">
      <c r="H135" s="2" t="s">
        <v>128</v>
      </c>
      <c r="I135" s="7">
        <v>62</v>
      </c>
      <c r="J135" s="4">
        <v>0</v>
      </c>
      <c r="K135" s="4">
        <f t="shared" si="3"/>
        <v>62</v>
      </c>
      <c r="L135" s="10"/>
      <c r="M135" s="4">
        <f t="shared" si="4"/>
        <v>62</v>
      </c>
      <c r="N135" s="9">
        <v>12000</v>
      </c>
      <c r="O135" s="9">
        <f t="shared" si="5"/>
        <v>0</v>
      </c>
    </row>
    <row r="136" spans="8:15" ht="15" x14ac:dyDescent="0.25">
      <c r="H136" s="2" t="s">
        <v>129</v>
      </c>
      <c r="I136" s="7">
        <v>26</v>
      </c>
      <c r="J136" s="4">
        <v>0</v>
      </c>
      <c r="K136" s="4">
        <f t="shared" si="3"/>
        <v>26</v>
      </c>
      <c r="L136" s="10"/>
      <c r="M136" s="4">
        <f t="shared" si="4"/>
        <v>26</v>
      </c>
      <c r="N136" s="9">
        <v>7000</v>
      </c>
      <c r="O136" s="9">
        <f t="shared" si="5"/>
        <v>0</v>
      </c>
    </row>
    <row r="137" spans="8:15" ht="15" x14ac:dyDescent="0.25">
      <c r="H137" s="2" t="s">
        <v>130</v>
      </c>
      <c r="I137" s="7">
        <v>9</v>
      </c>
      <c r="J137" s="4">
        <v>0</v>
      </c>
      <c r="K137" s="4">
        <f t="shared" si="3"/>
        <v>9</v>
      </c>
      <c r="L137" s="10"/>
      <c r="M137" s="4">
        <f t="shared" si="4"/>
        <v>9</v>
      </c>
      <c r="N137" s="9">
        <v>5000</v>
      </c>
      <c r="O137" s="9">
        <f t="shared" si="5"/>
        <v>0</v>
      </c>
    </row>
    <row r="138" spans="8:15" ht="15" x14ac:dyDescent="0.25">
      <c r="H138" s="2" t="s">
        <v>131</v>
      </c>
      <c r="I138" s="7">
        <v>49</v>
      </c>
      <c r="J138" s="4">
        <v>0</v>
      </c>
      <c r="K138" s="4">
        <f t="shared" ref="K138:K181" si="6">I138+J138</f>
        <v>49</v>
      </c>
      <c r="L138" s="10"/>
      <c r="M138" s="4">
        <f t="shared" ref="M138:M181" si="7">K138-L138</f>
        <v>49</v>
      </c>
      <c r="N138" s="9">
        <v>7000</v>
      </c>
      <c r="O138" s="9">
        <f t="shared" ref="O138:O181" si="8">L138*N138</f>
        <v>0</v>
      </c>
    </row>
    <row r="139" spans="8:15" ht="15" x14ac:dyDescent="0.25">
      <c r="H139" s="2" t="s">
        <v>132</v>
      </c>
      <c r="I139" s="7">
        <v>0</v>
      </c>
      <c r="J139" s="4">
        <v>0</v>
      </c>
      <c r="K139" s="4">
        <f t="shared" si="6"/>
        <v>0</v>
      </c>
      <c r="L139" s="10"/>
      <c r="M139" s="4">
        <f t="shared" si="7"/>
        <v>0</v>
      </c>
      <c r="N139" s="9">
        <v>6000</v>
      </c>
      <c r="O139" s="9">
        <f t="shared" si="8"/>
        <v>0</v>
      </c>
    </row>
    <row r="140" spans="8:15" ht="15" x14ac:dyDescent="0.25">
      <c r="H140" s="2" t="s">
        <v>133</v>
      </c>
      <c r="I140" s="7">
        <v>110</v>
      </c>
      <c r="J140" s="4">
        <v>0</v>
      </c>
      <c r="K140" s="4">
        <f t="shared" si="6"/>
        <v>110</v>
      </c>
      <c r="L140" s="10"/>
      <c r="M140" s="4">
        <f t="shared" si="7"/>
        <v>110</v>
      </c>
      <c r="N140" s="9">
        <v>8000</v>
      </c>
      <c r="O140" s="9">
        <f t="shared" si="8"/>
        <v>0</v>
      </c>
    </row>
    <row r="141" spans="8:15" ht="15" x14ac:dyDescent="0.25">
      <c r="H141" s="2" t="s">
        <v>134</v>
      </c>
      <c r="I141" s="7">
        <v>141</v>
      </c>
      <c r="J141" s="4">
        <v>0</v>
      </c>
      <c r="K141" s="4">
        <f t="shared" si="6"/>
        <v>141</v>
      </c>
      <c r="L141" s="10"/>
      <c r="M141" s="4">
        <f t="shared" si="7"/>
        <v>141</v>
      </c>
      <c r="N141" s="9">
        <v>7000</v>
      </c>
      <c r="O141" s="9">
        <f t="shared" si="8"/>
        <v>0</v>
      </c>
    </row>
    <row r="142" spans="8:15" ht="15" x14ac:dyDescent="0.25">
      <c r="H142" s="2" t="s">
        <v>135</v>
      </c>
      <c r="I142" s="7">
        <v>87</v>
      </c>
      <c r="J142" s="4">
        <v>0</v>
      </c>
      <c r="K142" s="4">
        <f t="shared" si="6"/>
        <v>87</v>
      </c>
      <c r="L142" s="10"/>
      <c r="M142" s="4">
        <f t="shared" si="7"/>
        <v>87</v>
      </c>
      <c r="N142" s="9">
        <v>18000</v>
      </c>
      <c r="O142" s="9">
        <f t="shared" si="8"/>
        <v>0</v>
      </c>
    </row>
    <row r="143" spans="8:15" ht="15" x14ac:dyDescent="0.25">
      <c r="H143" s="2" t="s">
        <v>136</v>
      </c>
      <c r="I143" s="7"/>
      <c r="J143" s="4">
        <v>0</v>
      </c>
      <c r="K143" s="4">
        <f t="shared" si="6"/>
        <v>0</v>
      </c>
      <c r="L143" s="10"/>
      <c r="M143" s="4"/>
      <c r="N143" s="9">
        <v>6000</v>
      </c>
      <c r="O143" s="9">
        <f t="shared" si="8"/>
        <v>0</v>
      </c>
    </row>
    <row r="144" spans="8:15" ht="15" x14ac:dyDescent="0.25">
      <c r="H144" s="2" t="s">
        <v>137</v>
      </c>
      <c r="I144" s="7">
        <v>187</v>
      </c>
      <c r="J144" s="4">
        <v>0</v>
      </c>
      <c r="K144" s="4">
        <f t="shared" si="6"/>
        <v>187</v>
      </c>
      <c r="L144" s="10"/>
      <c r="M144" s="4">
        <f t="shared" si="7"/>
        <v>187</v>
      </c>
      <c r="N144" s="9">
        <v>8000</v>
      </c>
      <c r="O144" s="9">
        <f t="shared" si="8"/>
        <v>0</v>
      </c>
    </row>
    <row r="145" spans="8:15" ht="15" x14ac:dyDescent="0.25">
      <c r="H145" s="2" t="s">
        <v>138</v>
      </c>
      <c r="I145" s="7">
        <v>67</v>
      </c>
      <c r="J145" s="4">
        <v>0</v>
      </c>
      <c r="K145" s="4">
        <f t="shared" si="6"/>
        <v>67</v>
      </c>
      <c r="L145" s="10"/>
      <c r="M145" s="4">
        <f t="shared" si="7"/>
        <v>67</v>
      </c>
      <c r="N145" s="9">
        <v>12000</v>
      </c>
      <c r="O145" s="9">
        <f t="shared" si="8"/>
        <v>0</v>
      </c>
    </row>
    <row r="146" spans="8:15" ht="15" x14ac:dyDescent="0.25">
      <c r="H146" s="2" t="s">
        <v>139</v>
      </c>
      <c r="I146" s="7">
        <v>35</v>
      </c>
      <c r="J146" s="4">
        <v>0</v>
      </c>
      <c r="K146" s="4">
        <f t="shared" si="6"/>
        <v>35</v>
      </c>
      <c r="L146" s="10"/>
      <c r="M146" s="4">
        <f t="shared" si="7"/>
        <v>35</v>
      </c>
      <c r="N146" s="9">
        <v>5000</v>
      </c>
      <c r="O146" s="9">
        <f t="shared" si="8"/>
        <v>0</v>
      </c>
    </row>
    <row r="147" spans="8:15" ht="15" x14ac:dyDescent="0.25">
      <c r="H147" s="2" t="s">
        <v>140</v>
      </c>
      <c r="I147" s="7">
        <v>648</v>
      </c>
      <c r="J147" s="4">
        <v>0</v>
      </c>
      <c r="K147" s="4">
        <f t="shared" si="6"/>
        <v>648</v>
      </c>
      <c r="L147" s="10"/>
      <c r="M147" s="4">
        <f t="shared" si="7"/>
        <v>648</v>
      </c>
      <c r="N147" s="9">
        <v>8000</v>
      </c>
      <c r="O147" s="9">
        <f t="shared" si="8"/>
        <v>0</v>
      </c>
    </row>
    <row r="148" spans="8:15" ht="15" x14ac:dyDescent="0.25">
      <c r="H148" s="2" t="s">
        <v>141</v>
      </c>
      <c r="I148" s="7">
        <v>86</v>
      </c>
      <c r="J148" s="4">
        <v>0</v>
      </c>
      <c r="K148" s="4">
        <f t="shared" si="6"/>
        <v>86</v>
      </c>
      <c r="L148" s="10"/>
      <c r="M148" s="4">
        <f t="shared" si="7"/>
        <v>86</v>
      </c>
      <c r="N148" s="9">
        <v>12000</v>
      </c>
      <c r="O148" s="9">
        <f t="shared" si="8"/>
        <v>0</v>
      </c>
    </row>
    <row r="149" spans="8:15" ht="15" x14ac:dyDescent="0.25">
      <c r="H149" s="2" t="s">
        <v>142</v>
      </c>
      <c r="I149" s="7">
        <v>38</v>
      </c>
      <c r="J149" s="4">
        <v>0</v>
      </c>
      <c r="K149" s="4">
        <f t="shared" si="6"/>
        <v>38</v>
      </c>
      <c r="L149" s="10"/>
      <c r="M149" s="4">
        <f t="shared" si="7"/>
        <v>38</v>
      </c>
      <c r="N149" s="9">
        <v>18000</v>
      </c>
      <c r="O149" s="9">
        <f t="shared" si="8"/>
        <v>0</v>
      </c>
    </row>
    <row r="150" spans="8:15" ht="15" x14ac:dyDescent="0.25">
      <c r="H150" s="2" t="s">
        <v>143</v>
      </c>
      <c r="I150" s="7">
        <v>55</v>
      </c>
      <c r="J150" s="4">
        <v>0</v>
      </c>
      <c r="K150" s="4">
        <f t="shared" si="6"/>
        <v>55</v>
      </c>
      <c r="L150" s="10"/>
      <c r="M150" s="4">
        <f t="shared" si="7"/>
        <v>55</v>
      </c>
      <c r="N150" s="9">
        <v>18500</v>
      </c>
      <c r="O150" s="9">
        <f t="shared" si="8"/>
        <v>0</v>
      </c>
    </row>
    <row r="151" spans="8:15" ht="15" x14ac:dyDescent="0.25">
      <c r="H151" s="2" t="s">
        <v>144</v>
      </c>
      <c r="I151" s="7">
        <v>15</v>
      </c>
      <c r="J151" s="4">
        <v>0</v>
      </c>
      <c r="K151" s="4">
        <f t="shared" si="6"/>
        <v>15</v>
      </c>
      <c r="L151" s="10"/>
      <c r="M151" s="4">
        <f t="shared" si="7"/>
        <v>15</v>
      </c>
      <c r="N151" s="9">
        <v>12000</v>
      </c>
      <c r="O151" s="9">
        <f t="shared" si="8"/>
        <v>0</v>
      </c>
    </row>
    <row r="152" spans="8:15" ht="15" x14ac:dyDescent="0.25">
      <c r="H152" s="2" t="s">
        <v>145</v>
      </c>
      <c r="I152" s="7">
        <v>50</v>
      </c>
      <c r="J152" s="4">
        <v>0</v>
      </c>
      <c r="K152" s="4">
        <f t="shared" si="6"/>
        <v>50</v>
      </c>
      <c r="L152" s="10"/>
      <c r="M152" s="4">
        <f t="shared" si="7"/>
        <v>50</v>
      </c>
      <c r="N152" s="9">
        <v>7000</v>
      </c>
      <c r="O152" s="9">
        <f t="shared" si="8"/>
        <v>0</v>
      </c>
    </row>
    <row r="153" spans="8:15" ht="15" x14ac:dyDescent="0.25">
      <c r="H153" s="2" t="s">
        <v>146</v>
      </c>
      <c r="I153" s="7">
        <v>26</v>
      </c>
      <c r="J153" s="4">
        <v>0</v>
      </c>
      <c r="K153" s="4">
        <f t="shared" si="6"/>
        <v>26</v>
      </c>
      <c r="L153" s="10"/>
      <c r="M153" s="4">
        <f t="shared" si="7"/>
        <v>26</v>
      </c>
      <c r="N153" s="9">
        <v>10000</v>
      </c>
      <c r="O153" s="9">
        <f t="shared" si="8"/>
        <v>0</v>
      </c>
    </row>
    <row r="154" spans="8:15" ht="15" x14ac:dyDescent="0.25">
      <c r="H154" s="2" t="s">
        <v>147</v>
      </c>
      <c r="I154" s="7">
        <v>53</v>
      </c>
      <c r="J154" s="4">
        <v>0</v>
      </c>
      <c r="K154" s="4">
        <f t="shared" si="6"/>
        <v>53</v>
      </c>
      <c r="L154" s="10"/>
      <c r="M154" s="4">
        <f t="shared" si="7"/>
        <v>53</v>
      </c>
      <c r="N154" s="9">
        <v>8000</v>
      </c>
      <c r="O154" s="9">
        <f t="shared" si="8"/>
        <v>0</v>
      </c>
    </row>
    <row r="155" spans="8:15" ht="15" x14ac:dyDescent="0.25">
      <c r="H155" s="2" t="s">
        <v>148</v>
      </c>
      <c r="I155" s="7">
        <v>112</v>
      </c>
      <c r="J155" s="4">
        <v>0</v>
      </c>
      <c r="K155" s="4">
        <f t="shared" si="6"/>
        <v>112</v>
      </c>
      <c r="L155" s="10"/>
      <c r="M155" s="4">
        <f t="shared" si="7"/>
        <v>112</v>
      </c>
      <c r="N155" s="9">
        <v>10000</v>
      </c>
      <c r="O155" s="9">
        <f t="shared" si="8"/>
        <v>0</v>
      </c>
    </row>
    <row r="156" spans="8:15" ht="15" x14ac:dyDescent="0.25">
      <c r="H156" s="2" t="s">
        <v>149</v>
      </c>
      <c r="I156" s="7">
        <v>124</v>
      </c>
      <c r="J156" s="4">
        <v>0</v>
      </c>
      <c r="K156" s="4">
        <f t="shared" si="6"/>
        <v>124</v>
      </c>
      <c r="L156" s="10"/>
      <c r="M156" s="4">
        <f t="shared" si="7"/>
        <v>124</v>
      </c>
      <c r="N156" s="9">
        <v>17000</v>
      </c>
      <c r="O156" s="9">
        <f t="shared" si="8"/>
        <v>0</v>
      </c>
    </row>
    <row r="157" spans="8:15" ht="15" x14ac:dyDescent="0.25">
      <c r="H157" s="2" t="s">
        <v>150</v>
      </c>
      <c r="I157" s="7">
        <v>102</v>
      </c>
      <c r="J157" s="4">
        <v>0</v>
      </c>
      <c r="K157" s="4">
        <f t="shared" si="6"/>
        <v>102</v>
      </c>
      <c r="L157" s="10"/>
      <c r="M157" s="4">
        <f t="shared" si="7"/>
        <v>102</v>
      </c>
      <c r="N157" s="9">
        <v>13000</v>
      </c>
      <c r="O157" s="9">
        <f t="shared" si="8"/>
        <v>0</v>
      </c>
    </row>
    <row r="158" spans="8:15" ht="15" x14ac:dyDescent="0.25">
      <c r="H158" s="2" t="s">
        <v>151</v>
      </c>
      <c r="I158" s="7">
        <v>39</v>
      </c>
      <c r="J158" s="4">
        <v>0</v>
      </c>
      <c r="K158" s="4">
        <f t="shared" si="6"/>
        <v>39</v>
      </c>
      <c r="L158" s="10"/>
      <c r="M158" s="4">
        <f t="shared" si="7"/>
        <v>39</v>
      </c>
      <c r="N158" s="9">
        <v>6000</v>
      </c>
      <c r="O158" s="9">
        <f t="shared" si="8"/>
        <v>0</v>
      </c>
    </row>
    <row r="159" spans="8:15" ht="15" x14ac:dyDescent="0.25">
      <c r="H159" s="2" t="s">
        <v>152</v>
      </c>
      <c r="I159" s="7">
        <v>0</v>
      </c>
      <c r="J159" s="4">
        <v>0</v>
      </c>
      <c r="K159" s="4">
        <f t="shared" si="6"/>
        <v>0</v>
      </c>
      <c r="L159" s="10"/>
      <c r="M159" s="4">
        <f t="shared" si="7"/>
        <v>0</v>
      </c>
      <c r="N159" s="9">
        <v>6000</v>
      </c>
      <c r="O159" s="9">
        <f t="shared" si="8"/>
        <v>0</v>
      </c>
    </row>
    <row r="160" spans="8:15" ht="15" x14ac:dyDescent="0.25">
      <c r="H160" s="2" t="s">
        <v>153</v>
      </c>
      <c r="I160" s="7">
        <v>0</v>
      </c>
      <c r="J160" s="4">
        <v>0</v>
      </c>
      <c r="K160" s="4">
        <f t="shared" si="6"/>
        <v>0</v>
      </c>
      <c r="L160" s="10"/>
      <c r="M160" s="4">
        <f t="shared" si="7"/>
        <v>0</v>
      </c>
      <c r="N160" s="9">
        <v>6000</v>
      </c>
      <c r="O160" s="9">
        <f t="shared" si="8"/>
        <v>0</v>
      </c>
    </row>
    <row r="161" spans="8:15" ht="15" x14ac:dyDescent="0.25">
      <c r="H161" s="2" t="s">
        <v>154</v>
      </c>
      <c r="I161" s="7">
        <v>20</v>
      </c>
      <c r="J161" s="4">
        <v>0</v>
      </c>
      <c r="K161" s="4">
        <f t="shared" si="6"/>
        <v>20</v>
      </c>
      <c r="L161" s="10"/>
      <c r="M161" s="4">
        <f t="shared" si="7"/>
        <v>20</v>
      </c>
      <c r="N161" s="9">
        <v>25000</v>
      </c>
      <c r="O161" s="9">
        <f t="shared" si="8"/>
        <v>0</v>
      </c>
    </row>
    <row r="162" spans="8:15" ht="15" x14ac:dyDescent="0.25">
      <c r="H162" s="2" t="s">
        <v>155</v>
      </c>
      <c r="I162" s="7">
        <v>431</v>
      </c>
      <c r="J162" s="4">
        <v>0</v>
      </c>
      <c r="K162" s="4">
        <f t="shared" si="6"/>
        <v>431</v>
      </c>
      <c r="L162" s="10"/>
      <c r="M162" s="4">
        <f t="shared" si="7"/>
        <v>431</v>
      </c>
      <c r="N162" s="9">
        <v>10000</v>
      </c>
      <c r="O162" s="9">
        <f t="shared" si="8"/>
        <v>0</v>
      </c>
    </row>
    <row r="163" spans="8:15" ht="15" x14ac:dyDescent="0.25">
      <c r="H163" s="2" t="s">
        <v>156</v>
      </c>
      <c r="I163" s="7">
        <v>15</v>
      </c>
      <c r="J163" s="4">
        <v>0</v>
      </c>
      <c r="K163" s="4">
        <f t="shared" si="6"/>
        <v>15</v>
      </c>
      <c r="L163" s="10"/>
      <c r="M163" s="4">
        <f t="shared" si="7"/>
        <v>15</v>
      </c>
      <c r="N163" s="9">
        <v>9000</v>
      </c>
      <c r="O163" s="9">
        <f t="shared" si="8"/>
        <v>0</v>
      </c>
    </row>
    <row r="164" spans="8:15" ht="15" x14ac:dyDescent="0.25">
      <c r="H164" s="2" t="s">
        <v>157</v>
      </c>
      <c r="I164" s="7">
        <v>56</v>
      </c>
      <c r="J164" s="4">
        <v>0</v>
      </c>
      <c r="K164" s="4">
        <f t="shared" si="6"/>
        <v>56</v>
      </c>
      <c r="L164" s="10"/>
      <c r="M164" s="4">
        <f t="shared" si="7"/>
        <v>56</v>
      </c>
      <c r="N164" s="9">
        <v>7000</v>
      </c>
      <c r="O164" s="9">
        <f t="shared" si="8"/>
        <v>0</v>
      </c>
    </row>
    <row r="165" spans="8:15" ht="15" x14ac:dyDescent="0.25">
      <c r="H165" s="2" t="s">
        <v>158</v>
      </c>
      <c r="I165" s="7">
        <v>8</v>
      </c>
      <c r="J165" s="4">
        <v>0</v>
      </c>
      <c r="K165" s="4">
        <f t="shared" si="6"/>
        <v>8</v>
      </c>
      <c r="L165" s="10"/>
      <c r="M165" s="4">
        <f t="shared" si="7"/>
        <v>8</v>
      </c>
      <c r="N165" s="9">
        <v>6000</v>
      </c>
      <c r="O165" s="9">
        <f t="shared" si="8"/>
        <v>0</v>
      </c>
    </row>
    <row r="166" spans="8:15" ht="15" x14ac:dyDescent="0.25">
      <c r="H166" s="2" t="s">
        <v>159</v>
      </c>
      <c r="I166" s="7">
        <v>0</v>
      </c>
      <c r="J166" s="4">
        <v>0</v>
      </c>
      <c r="K166" s="4">
        <f t="shared" si="6"/>
        <v>0</v>
      </c>
      <c r="L166" s="10"/>
      <c r="M166" s="4">
        <f t="shared" si="7"/>
        <v>0</v>
      </c>
      <c r="N166" s="9">
        <v>6000</v>
      </c>
      <c r="O166" s="9">
        <f t="shared" si="8"/>
        <v>0</v>
      </c>
    </row>
    <row r="167" spans="8:15" ht="15" x14ac:dyDescent="0.25">
      <c r="H167" s="2" t="s">
        <v>160</v>
      </c>
      <c r="I167" s="7">
        <v>6</v>
      </c>
      <c r="J167" s="4">
        <v>0</v>
      </c>
      <c r="K167" s="4">
        <f t="shared" si="6"/>
        <v>6</v>
      </c>
      <c r="L167" s="10"/>
      <c r="M167" s="4">
        <f t="shared" si="7"/>
        <v>6</v>
      </c>
      <c r="N167" s="9">
        <v>12000</v>
      </c>
      <c r="O167" s="9">
        <f t="shared" si="8"/>
        <v>0</v>
      </c>
    </row>
    <row r="168" spans="8:15" ht="15" x14ac:dyDescent="0.25">
      <c r="H168" s="2" t="s">
        <v>161</v>
      </c>
      <c r="I168" s="7">
        <v>0</v>
      </c>
      <c r="J168" s="4">
        <v>0</v>
      </c>
      <c r="K168" s="4">
        <f t="shared" si="6"/>
        <v>0</v>
      </c>
      <c r="L168" s="10"/>
      <c r="M168" s="4">
        <f t="shared" si="7"/>
        <v>0</v>
      </c>
      <c r="N168" s="9">
        <v>6000</v>
      </c>
      <c r="O168" s="9">
        <f t="shared" si="8"/>
        <v>0</v>
      </c>
    </row>
    <row r="169" spans="8:15" ht="15" x14ac:dyDescent="0.25">
      <c r="H169" s="2" t="s">
        <v>162</v>
      </c>
      <c r="I169" s="7">
        <v>13</v>
      </c>
      <c r="J169" s="4">
        <v>0</v>
      </c>
      <c r="K169" s="4">
        <f t="shared" si="6"/>
        <v>13</v>
      </c>
      <c r="L169" s="10"/>
      <c r="M169" s="4">
        <f t="shared" si="7"/>
        <v>13</v>
      </c>
      <c r="N169" s="9">
        <v>7000</v>
      </c>
      <c r="O169" s="9">
        <f t="shared" si="8"/>
        <v>0</v>
      </c>
    </row>
    <row r="170" spans="8:15" ht="15" x14ac:dyDescent="0.25">
      <c r="H170" s="2" t="s">
        <v>163</v>
      </c>
      <c r="I170" s="7">
        <v>34</v>
      </c>
      <c r="J170" s="4">
        <v>0</v>
      </c>
      <c r="K170" s="4">
        <f t="shared" si="6"/>
        <v>34</v>
      </c>
      <c r="L170" s="10"/>
      <c r="M170" s="4">
        <f t="shared" si="7"/>
        <v>34</v>
      </c>
      <c r="N170" s="9">
        <v>15000</v>
      </c>
      <c r="O170" s="9">
        <f t="shared" si="8"/>
        <v>0</v>
      </c>
    </row>
    <row r="171" spans="8:15" ht="15" x14ac:dyDescent="0.25">
      <c r="H171" s="2" t="s">
        <v>164</v>
      </c>
      <c r="I171" s="7">
        <v>12</v>
      </c>
      <c r="J171" s="4">
        <v>0</v>
      </c>
      <c r="K171" s="4">
        <f t="shared" si="6"/>
        <v>12</v>
      </c>
      <c r="L171" s="10"/>
      <c r="M171" s="4">
        <f t="shared" si="7"/>
        <v>12</v>
      </c>
      <c r="N171" s="9">
        <v>20000</v>
      </c>
      <c r="O171" s="9">
        <f t="shared" si="8"/>
        <v>0</v>
      </c>
    </row>
    <row r="172" spans="8:15" ht="15" x14ac:dyDescent="0.25">
      <c r="H172" s="2" t="s">
        <v>165</v>
      </c>
      <c r="I172" s="7">
        <v>0</v>
      </c>
      <c r="J172" s="4">
        <v>0</v>
      </c>
      <c r="K172" s="4">
        <f t="shared" si="6"/>
        <v>0</v>
      </c>
      <c r="L172" s="10"/>
      <c r="M172" s="4">
        <f t="shared" si="7"/>
        <v>0</v>
      </c>
      <c r="N172" s="9">
        <v>15000</v>
      </c>
      <c r="O172" s="9">
        <f t="shared" si="8"/>
        <v>0</v>
      </c>
    </row>
    <row r="173" spans="8:15" ht="15" x14ac:dyDescent="0.25">
      <c r="H173" s="2" t="s">
        <v>166</v>
      </c>
      <c r="I173" s="7">
        <v>0</v>
      </c>
      <c r="J173" s="4"/>
      <c r="K173" s="4">
        <f t="shared" si="6"/>
        <v>0</v>
      </c>
      <c r="L173" s="10"/>
      <c r="M173" s="4">
        <f t="shared" si="7"/>
        <v>0</v>
      </c>
      <c r="N173" s="9">
        <v>6000</v>
      </c>
      <c r="O173" s="9">
        <f t="shared" si="8"/>
        <v>0</v>
      </c>
    </row>
    <row r="174" spans="8:15" ht="15" x14ac:dyDescent="0.25">
      <c r="H174" s="2" t="s">
        <v>167</v>
      </c>
      <c r="I174" s="7">
        <v>1</v>
      </c>
      <c r="J174" s="4">
        <v>0</v>
      </c>
      <c r="K174" s="4">
        <f t="shared" si="6"/>
        <v>1</v>
      </c>
      <c r="L174" s="10"/>
      <c r="M174" s="4">
        <f t="shared" si="7"/>
        <v>1</v>
      </c>
      <c r="N174" s="9">
        <v>7000</v>
      </c>
      <c r="O174" s="9">
        <f t="shared" si="8"/>
        <v>0</v>
      </c>
    </row>
    <row r="175" spans="8:15" ht="15" x14ac:dyDescent="0.25">
      <c r="H175" s="2" t="s">
        <v>168</v>
      </c>
      <c r="I175" s="7">
        <v>2</v>
      </c>
      <c r="J175" s="4">
        <v>0</v>
      </c>
      <c r="K175" s="4">
        <f t="shared" si="6"/>
        <v>2</v>
      </c>
      <c r="L175" s="10"/>
      <c r="M175" s="4">
        <f t="shared" si="7"/>
        <v>2</v>
      </c>
      <c r="N175" s="9">
        <v>8000</v>
      </c>
      <c r="O175" s="9">
        <f t="shared" si="8"/>
        <v>0</v>
      </c>
    </row>
    <row r="176" spans="8:15" ht="15" x14ac:dyDescent="0.25">
      <c r="H176" s="2" t="s">
        <v>169</v>
      </c>
      <c r="I176" s="7">
        <v>0</v>
      </c>
      <c r="J176" s="4">
        <v>0</v>
      </c>
      <c r="K176" s="4">
        <f t="shared" si="6"/>
        <v>0</v>
      </c>
      <c r="L176" s="10"/>
      <c r="M176" s="4">
        <f t="shared" si="7"/>
        <v>0</v>
      </c>
      <c r="N176" s="9">
        <v>6000</v>
      </c>
      <c r="O176" s="9"/>
    </row>
    <row r="177" spans="8:15" ht="15" x14ac:dyDescent="0.25">
      <c r="H177" s="2" t="s">
        <v>170</v>
      </c>
      <c r="I177" s="7">
        <v>1</v>
      </c>
      <c r="J177" s="4">
        <v>0</v>
      </c>
      <c r="K177" s="4">
        <f t="shared" si="6"/>
        <v>1</v>
      </c>
      <c r="L177" s="10"/>
      <c r="M177" s="4">
        <f t="shared" si="7"/>
        <v>1</v>
      </c>
      <c r="N177" s="9">
        <v>6000</v>
      </c>
      <c r="O177" s="9">
        <f t="shared" si="8"/>
        <v>0</v>
      </c>
    </row>
    <row r="178" spans="8:15" ht="15" x14ac:dyDescent="0.25">
      <c r="H178" s="2" t="s">
        <v>171</v>
      </c>
      <c r="I178" s="7">
        <v>0</v>
      </c>
      <c r="J178" s="4">
        <v>0</v>
      </c>
      <c r="K178" s="4"/>
      <c r="L178" s="10"/>
      <c r="M178" s="4">
        <f t="shared" si="7"/>
        <v>0</v>
      </c>
      <c r="N178" s="9">
        <v>6000</v>
      </c>
      <c r="O178" s="9">
        <f t="shared" si="8"/>
        <v>0</v>
      </c>
    </row>
    <row r="179" spans="8:15" ht="15" x14ac:dyDescent="0.25">
      <c r="H179" s="2" t="s">
        <v>172</v>
      </c>
      <c r="I179" s="7">
        <v>3</v>
      </c>
      <c r="J179" s="4">
        <v>0</v>
      </c>
      <c r="K179" s="4">
        <f t="shared" si="6"/>
        <v>3</v>
      </c>
      <c r="L179" s="10"/>
      <c r="M179" s="4">
        <f t="shared" si="7"/>
        <v>3</v>
      </c>
      <c r="N179" s="9">
        <v>7000</v>
      </c>
      <c r="O179" s="9">
        <f t="shared" si="8"/>
        <v>0</v>
      </c>
    </row>
    <row r="180" spans="8:15" ht="15" x14ac:dyDescent="0.25">
      <c r="H180" s="2" t="s">
        <v>173</v>
      </c>
      <c r="I180" s="7">
        <v>5</v>
      </c>
      <c r="J180" s="4">
        <v>0</v>
      </c>
      <c r="K180" s="4">
        <f t="shared" si="6"/>
        <v>5</v>
      </c>
      <c r="L180" s="10"/>
      <c r="M180" s="4">
        <f t="shared" si="7"/>
        <v>5</v>
      </c>
      <c r="N180" s="9">
        <v>2000</v>
      </c>
      <c r="O180" s="9">
        <f t="shared" si="8"/>
        <v>0</v>
      </c>
    </row>
    <row r="181" spans="8:15" ht="15" x14ac:dyDescent="0.25">
      <c r="H181" s="2" t="s">
        <v>174</v>
      </c>
      <c r="I181" s="7">
        <v>2</v>
      </c>
      <c r="J181" s="4">
        <v>0</v>
      </c>
      <c r="K181" s="4">
        <f t="shared" si="6"/>
        <v>2</v>
      </c>
      <c r="L181" s="10"/>
      <c r="M181" s="4">
        <f t="shared" si="7"/>
        <v>2</v>
      </c>
      <c r="N181" s="9">
        <v>5000</v>
      </c>
      <c r="O181" s="9">
        <f t="shared" si="8"/>
        <v>0</v>
      </c>
    </row>
    <row r="182" spans="8:15" ht="15.6" x14ac:dyDescent="0.3">
      <c r="H182" s="1" t="s">
        <v>182</v>
      </c>
      <c r="I182" s="6"/>
      <c r="J182" s="3"/>
      <c r="K182" s="4"/>
      <c r="L182" s="1"/>
      <c r="M182" s="3"/>
      <c r="N182" s="1"/>
      <c r="O182" s="11">
        <f>SUM(O8:O181)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Faiz</dc:creator>
  <cp:lastModifiedBy>Mohammed Faiz</cp:lastModifiedBy>
  <dcterms:created xsi:type="dcterms:W3CDTF">2015-06-05T18:17:20Z</dcterms:created>
  <dcterms:modified xsi:type="dcterms:W3CDTF">2026-04-11T05:41:57Z</dcterms:modified>
</cp:coreProperties>
</file>